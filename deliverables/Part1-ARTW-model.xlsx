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gmentP&amp;L" sheetId="2" state="visible" r:id="rId2"/>
    <sheet xmlns:r="http://schemas.openxmlformats.org/officeDocument/2006/relationships" name="SOTP" sheetId="3" state="visible" r:id="rId3"/>
    <sheet xmlns:r="http://schemas.openxmlformats.org/officeDocument/2006/relationships" name="ModularDCF" sheetId="4" state="visible" r:id="rId4"/>
    <sheet xmlns:r="http://schemas.openxmlformats.org/officeDocument/2006/relationships" name="VCP_Waterfall" sheetId="5" state="visible" r:id="rId5"/>
    <sheet xmlns:r="http://schemas.openxmlformats.org/officeDocument/2006/relationships" name="TwoLeg" sheetId="6" state="visible" r:id="rId6"/>
    <sheet xmlns:r="http://schemas.openxmlformats.org/officeDocument/2006/relationships" name="Graham" sheetId="7" state="visible" r:id="rId7"/>
    <sheet xmlns:r="http://schemas.openxmlformats.org/officeDocument/2006/relationships" name="Peers" sheetId="8" state="visible" r:id="rId8"/>
    <sheet xmlns:r="http://schemas.openxmlformats.org/officeDocument/2006/relationships" name="Assumptions" sheetId="9" state="visible" r:id="rId9"/>
    <sheet xmlns:r="http://schemas.openxmlformats.org/officeDocument/2006/relationships" name="LBO_Returns" sheetId="10" state="visible" r:id="rId10"/>
    <sheet xmlns:r="http://schemas.openxmlformats.org/officeDocument/2006/relationships" name="LBO_Sensitiv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#,##0.000"/>
    <numFmt numFmtId="166" formatCode="&quot;$&quot;#,##0.0"/>
    <numFmt numFmtId="167" formatCode="0.00&quot;x&quot;"/>
    <numFmt numFmtId="168" formatCode="0.0%"/>
    <numFmt numFmtId="169" formatCode="0.0&quot;x&quot;"/>
    <numFmt numFmtId="170" formatCode="#,##0.0"/>
  </numFmts>
  <fonts count="19">
    <font>
      <name val="Calibri"/>
      <family val="2"/>
      <color theme="1"/>
      <sz val="11"/>
      <scheme val="minor"/>
    </font>
    <font>
      <name val="Calibri"/>
      <b val="1"/>
      <color rgb="000A2540"/>
      <sz val="15"/>
    </font>
    <font>
      <name val="Calibri"/>
      <i val="1"/>
      <color rgb="006B7280"/>
      <sz val="9"/>
    </font>
    <font>
      <name val="Calibri"/>
      <b val="1"/>
      <color rgb="00C8102E"/>
      <sz val="11"/>
    </font>
    <font>
      <name val="Calibri"/>
      <b val="1"/>
      <color rgb="000A2540"/>
      <sz val="12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color rgb="001B7A4B"/>
      <sz val="11"/>
    </font>
    <font>
      <b val="1"/>
      <color rgb="000A2540"/>
      <sz val="13"/>
    </font>
    <font>
      <i val="1"/>
      <sz val="9"/>
    </font>
    <font>
      <b val="1"/>
    </font>
    <font>
      <b val="1"/>
      <color rgb="00FFFFFF"/>
    </font>
    <font>
      <name val="Calibri"/>
      <b val="1"/>
      <color rgb="000A2540"/>
      <sz val="14"/>
    </font>
    <font>
      <name val="Calibri"/>
      <b val="1"/>
      <color rgb="000A2540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C8102E"/>
      <sz val="10"/>
    </font>
    <font>
      <name val="Calibri"/>
      <i val="1"/>
      <color rgb="006B7280"/>
      <sz val="8"/>
    </font>
    <font>
      <name val="Calibri"/>
      <b val="1"/>
      <color rgb="001B7A4B"/>
      <sz val="10"/>
    </font>
  </fonts>
  <fills count="7">
    <fill>
      <patternFill/>
    </fill>
    <fill>
      <patternFill patternType="gray125"/>
    </fill>
    <fill>
      <patternFill patternType="solid">
        <fgColor rgb="00FEF7F7"/>
      </patternFill>
    </fill>
    <fill>
      <patternFill patternType="solid">
        <fgColor rgb="000A2540"/>
      </patternFill>
    </fill>
    <fill>
      <patternFill patternType="solid">
        <fgColor rgb="00FFFDE7"/>
      </patternFill>
    </fill>
    <fill>
      <patternFill patternType="solid">
        <fgColor rgb="00FFF6BF"/>
      </patternFill>
    </fill>
    <fill>
      <patternFill patternType="solid">
        <fgColor rgb="00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5" fillId="2" borderId="0" pivotButton="0" quotePrefix="0" xfId="0"/>
    <xf numFmtId="164" fontId="5" fillId="2" borderId="0" pivotButton="0" quotePrefix="0" xfId="0"/>
    <xf numFmtId="167" fontId="5" fillId="2" borderId="0" pivotButton="0" quotePrefix="0" xfId="0"/>
    <xf numFmtId="0" fontId="6" fillId="3" borderId="0" applyAlignment="1" pivotButton="0" quotePrefix="0" xfId="0">
      <alignment horizontal="center"/>
    </xf>
    <xf numFmtId="9" fontId="0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3" fontId="0" fillId="0" borderId="0" pivotButton="0" quotePrefix="0" xfId="0"/>
    <xf numFmtId="3" fontId="0" fillId="4" borderId="0" pivotButton="0" quotePrefix="0" xfId="0"/>
    <xf numFmtId="3" fontId="5" fillId="0" borderId="0" pivotButton="0" quotePrefix="0" xfId="0"/>
    <xf numFmtId="3" fontId="5" fillId="2" borderId="0" pivotButton="0" quotePrefix="0" xfId="0"/>
    <xf numFmtId="3" fontId="3" fillId="0" borderId="0" pivotButton="0" quotePrefix="0" xfId="0"/>
    <xf numFmtId="166" fontId="0" fillId="4" borderId="0" pivotButton="0" quotePrefix="0" xfId="0"/>
    <xf numFmtId="169" fontId="0" fillId="4" borderId="0" pivotButton="0" quotePrefix="0" xfId="0"/>
    <xf numFmtId="166" fontId="5" fillId="2" borderId="0" pivotButton="0" quotePrefix="0" xfId="0"/>
    <xf numFmtId="168" fontId="0" fillId="4" borderId="0" pivotButton="0" quotePrefix="0" xfId="0"/>
    <xf numFmtId="0" fontId="5" fillId="0" borderId="0" pivotButton="0" quotePrefix="0" xfId="0"/>
    <xf numFmtId="166" fontId="5" fillId="0" borderId="0" pivotButton="0" quotePrefix="0" xfId="0"/>
    <xf numFmtId="169" fontId="0" fillId="0" borderId="0" pivotButton="0" quotePrefix="0" xfId="0"/>
    <xf numFmtId="0" fontId="0" fillId="4" borderId="0" pivotButton="0" quotePrefix="0" xfId="0"/>
    <xf numFmtId="168" fontId="5" fillId="2" borderId="0" pivotButton="0" quotePrefix="0" xfId="0"/>
    <xf numFmtId="164" fontId="0" fillId="4" borderId="0" pivotButton="0" quotePrefix="0" xfId="0"/>
    <xf numFmtId="164" fontId="5" fillId="0" borderId="0" pivotButton="0" quotePrefix="0" xfId="0"/>
    <xf numFmtId="9" fontId="0" fillId="4" borderId="0" pivotButton="0" quotePrefix="0" xfId="0"/>
    <xf numFmtId="0" fontId="0" fillId="2" borderId="0" pivotButton="0" quotePrefix="0" xfId="0"/>
    <xf numFmtId="9" fontId="5" fillId="2" borderId="0" pivotButton="0" quotePrefix="0" xfId="0"/>
    <xf numFmtId="167" fontId="5" fillId="0" borderId="0" pivotButton="0" quotePrefix="0" xfId="0"/>
    <xf numFmtId="168" fontId="0" fillId="2" borderId="0" pivotButton="0" quotePrefix="0" xfId="0"/>
    <xf numFmtId="2" fontId="0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9" fontId="0" fillId="5" borderId="0" pivotButton="0" quotePrefix="0" xfId="0"/>
    <xf numFmtId="10" fontId="0" fillId="0" borderId="0" pivotButton="0" quotePrefix="0" xfId="0"/>
    <xf numFmtId="0" fontId="11" fillId="3" borderId="0" pivotButton="0" quotePrefix="0" xfId="0"/>
    <xf numFmtId="0" fontId="10" fillId="2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0" fillId="0" borderId="0" applyAlignment="1" pivotButton="0" quotePrefix="0" xfId="0">
      <alignment horizontal="left"/>
    </xf>
    <xf numFmtId="4" fontId="0" fillId="6" borderId="0" applyAlignment="1" pivotButton="0" quotePrefix="0" xfId="0">
      <alignment horizontal="right"/>
    </xf>
    <xf numFmtId="170" fontId="0" fillId="6" borderId="0" applyAlignment="1" pivotButton="0" quotePrefix="0" xfId="0">
      <alignment horizontal="right"/>
    </xf>
    <xf numFmtId="170" fontId="0" fillId="0" borderId="0" applyAlignment="1" pivotButton="0" quotePrefix="0" xfId="0">
      <alignment horizontal="right"/>
    </xf>
    <xf numFmtId="9" fontId="0" fillId="6" borderId="0" applyAlignment="1" pivotButton="0" quotePrefix="0" xfId="0">
      <alignment horizontal="right"/>
    </xf>
    <xf numFmtId="1" fontId="0" fillId="6" borderId="0" applyAlignment="1" pivotButton="0" quotePrefix="0" xfId="0">
      <alignment horizontal="right"/>
    </xf>
    <xf numFmtId="0" fontId="14" fillId="3" borderId="0" applyAlignment="1" pivotButton="0" quotePrefix="0" xfId="0">
      <alignment horizontal="left"/>
    </xf>
    <xf numFmtId="0" fontId="14" fillId="3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168" fontId="0" fillId="0" borderId="0" applyAlignment="1" pivotButton="0" quotePrefix="0" xfId="0">
      <alignment horizontal="right"/>
    </xf>
    <xf numFmtId="0" fontId="17" fillId="0" borderId="0" pivotButton="0" quotePrefix="0" xfId="0"/>
    <xf numFmtId="0" fontId="15" fillId="0" borderId="0" pivotButton="0" quotePrefix="0" xfId="0"/>
    <xf numFmtId="4" fontId="16" fillId="0" borderId="0" applyAlignment="1" pivotButton="0" quotePrefix="0" xfId="0">
      <alignment horizontal="right"/>
    </xf>
    <xf numFmtId="168" fontId="16" fillId="0" borderId="0" applyAlignment="1" pivotButton="0" quotePrefix="0" xfId="0">
      <alignment horizontal="right"/>
    </xf>
    <xf numFmtId="170" fontId="15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7" fillId="0" borderId="0" applyAlignment="1" pivotButton="0" quotePrefix="0" xfId="0">
      <alignment vertical="top" wrapText="1"/>
    </xf>
    <xf numFmtId="169" fontId="0" fillId="6" borderId="0" applyAlignment="1" pivotButton="0" quotePrefix="0" xfId="0">
      <alignment horizontal="right"/>
    </xf>
    <xf numFmtId="0" fontId="16" fillId="0" borderId="0" pivotButton="0" quotePrefix="0" xfId="0"/>
    <xf numFmtId="170" fontId="16" fillId="2" borderId="0" applyAlignment="1" pivotButton="0" quotePrefix="0" xfId="0">
      <alignment horizontal="right"/>
    </xf>
    <xf numFmtId="4" fontId="16" fillId="2" borderId="0" applyAlignment="1" pivotButton="0" quotePrefix="0" xfId="0">
      <alignment horizontal="right"/>
    </xf>
    <xf numFmtId="168" fontId="0" fillId="6" borderId="0" applyAlignment="1" pivotButton="0" quotePrefix="0" xfId="0">
      <alignment horizontal="right"/>
    </xf>
    <xf numFmtId="0" fontId="18" fillId="0" borderId="0" pivotButton="0" quotePrefix="0" xfId="0"/>
    <xf numFmtId="170" fontId="18" fillId="2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48" t="inlineStr">
        <is>
          <t>Art's-Way Manufacturing (ARTW) — V3 Control-Basis Model</t>
        </is>
      </c>
    </row>
    <row r="2">
      <c r="A2" s="2" t="inlineStr">
        <is>
          <t>Single control-basis summary, tied to the Part-1 pitch deck. $ in millions unless per-share. Yellow = editable input; everything else is a live formula (recalculates on open).</t>
        </is>
      </c>
    </row>
    <row r="4">
      <c r="A4" s="49" t="inlineStr">
        <is>
          <t>KEY FACTS  (CITED — FY25 10-K / Q1 FY26 10-Q / 2026 DEF 14A)</t>
        </is>
      </c>
    </row>
    <row r="5">
      <c r="A5" s="50" t="inlineStr">
        <is>
          <t>Current price ($/sh)</t>
        </is>
      </c>
      <c r="B5" s="51" t="n">
        <v>2.58</v>
      </c>
    </row>
    <row r="6">
      <c r="A6" s="50" t="inlineStr">
        <is>
          <t>Shares outstanding (M, basic)</t>
        </is>
      </c>
      <c r="B6" s="52" t="n">
        <v>5.184</v>
      </c>
    </row>
    <row r="7">
      <c r="A7" s="50" t="inlineStr">
        <is>
          <t>Shares fully diluted (M)</t>
        </is>
      </c>
      <c r="B7" s="52" t="n">
        <v>5.684</v>
      </c>
    </row>
    <row r="8">
      <c r="A8" s="50" t="inlineStr">
        <is>
          <t>Net debt ($M)</t>
        </is>
      </c>
      <c r="B8" s="52" t="n">
        <v>6.4</v>
      </c>
    </row>
    <row r="9">
      <c r="A9" s="50" t="inlineStr">
        <is>
          <t>Market cap ($M)</t>
        </is>
      </c>
      <c r="B9" s="53">
        <f>B5*B6</f>
        <v/>
      </c>
    </row>
    <row r="10">
      <c r="A10" s="50" t="inlineStr">
        <is>
          <t>Enterprise value ($M)</t>
        </is>
      </c>
      <c r="B10" s="53">
        <f>B9+B8</f>
        <v/>
      </c>
    </row>
    <row r="11">
      <c r="A11" s="50" t="inlineStr">
        <is>
          <t>Book value / share ($)</t>
        </is>
      </c>
      <c r="B11" s="51" t="n">
        <v>2.57</v>
      </c>
    </row>
    <row r="12">
      <c r="A12" s="50" t="inlineStr">
        <is>
          <t>Family voting control</t>
        </is>
      </c>
      <c r="B12" s="54" t="n">
        <v>0.515</v>
      </c>
    </row>
    <row r="13">
      <c r="A13" s="50" t="inlineStr">
        <is>
          <t>Analyst coverage</t>
        </is>
      </c>
      <c r="B13" s="55" t="n">
        <v>0</v>
      </c>
    </row>
    <row r="15">
      <c r="A15" s="49" t="inlineStr">
        <is>
          <t>INTRINSIC VALUE — control basis (live from SOTP)</t>
        </is>
      </c>
    </row>
    <row r="16">
      <c r="A16" s="56" t="inlineStr">
        <is>
          <t>Scenario</t>
        </is>
      </c>
      <c r="B16" s="57" t="inlineStr">
        <is>
          <t>FV / sh ($)</t>
        </is>
      </c>
      <c r="C16" s="57" t="inlineStr">
        <is>
          <t>vs price</t>
        </is>
      </c>
      <c r="D16" s="57" t="inlineStr">
        <is>
          <t>Prob</t>
        </is>
      </c>
    </row>
    <row r="17">
      <c r="A17" s="50" t="inlineStr">
        <is>
          <t>Bear</t>
        </is>
      </c>
      <c r="B17" s="58">
        <f>SOTP!B32</f>
        <v/>
      </c>
      <c r="C17" s="59">
        <f>B17/$B$5-1</f>
        <v/>
      </c>
      <c r="D17" s="54" t="n">
        <v>0.3</v>
      </c>
      <c r="E17" s="60" t="inlineStr">
        <is>
          <t>Base ≈ $2.95–2.96 basic (deck rounds components to $2.95); fully-diluted ≈ $2.70. Asset floor: book $2.57, NCAV $1.08 (Graham tab).</t>
        </is>
      </c>
    </row>
    <row r="18">
      <c r="A18" s="50" t="inlineStr">
        <is>
          <t>Base</t>
        </is>
      </c>
      <c r="B18" s="58">
        <f>SOTP!C32</f>
        <v/>
      </c>
      <c r="C18" s="59">
        <f>B18/$B$5-1</f>
        <v/>
      </c>
      <c r="D18" s="54" t="n">
        <v>0.45</v>
      </c>
    </row>
    <row r="19">
      <c r="A19" s="50" t="inlineStr">
        <is>
          <t>Bull</t>
        </is>
      </c>
      <c r="B19" s="58">
        <f>SOTP!D32</f>
        <v/>
      </c>
      <c r="C19" s="59">
        <f>B19/$B$5-1</f>
        <v/>
      </c>
      <c r="D19" s="54" t="n">
        <v>0.25</v>
      </c>
    </row>
    <row r="20">
      <c r="A20" s="61" t="inlineStr">
        <is>
          <t>Probability-weighted</t>
        </is>
      </c>
      <c r="B20" s="62">
        <f>SUMPRODUCT(B17:B19,D17:D19)</f>
        <v/>
      </c>
      <c r="C20" s="63">
        <f>B20/$B$5-1</f>
        <v/>
      </c>
    </row>
    <row r="22">
      <c r="A22" s="49" t="inlineStr">
        <is>
          <t>SOTP BRIDGE — base ($M)</t>
        </is>
      </c>
    </row>
    <row r="23">
      <c r="A23" s="50" t="inlineStr">
        <is>
          <t>Building business (DCF / multiple blend)</t>
        </is>
      </c>
      <c r="B23" s="53">
        <f>SOTP!C14</f>
        <v/>
      </c>
    </row>
    <row r="24">
      <c r="A24" s="50" t="inlineStr">
        <is>
          <t>+ Ag assets, after orderly sale</t>
        </is>
      </c>
      <c r="B24" s="53">
        <f>SOTP!D23</f>
        <v/>
      </c>
    </row>
    <row r="25">
      <c r="A25" s="50" t="inlineStr">
        <is>
          <t>− Net debt</t>
        </is>
      </c>
      <c r="B25" s="53">
        <f>-B8</f>
        <v/>
      </c>
    </row>
    <row r="26">
      <c r="A26" s="61" t="inlineStr">
        <is>
          <t>Equity ($M)  →  per share</t>
        </is>
      </c>
      <c r="B26" s="64">
        <f>B23+B24+B25</f>
        <v/>
      </c>
      <c r="C26" s="62">
        <f>B26/B6</f>
        <v/>
      </c>
    </row>
    <row r="28">
      <c r="A28" s="49" t="inlineStr">
        <is>
          <t>SEARCH-FUND LBO RETURNS  (recommended ~$10M debt / 46% lev; 5-yr; from LBO_Sensitivity)</t>
        </is>
      </c>
    </row>
    <row r="29">
      <c r="A29" s="56" t="inlineStr">
        <is>
          <t>Scenario</t>
        </is>
      </c>
      <c r="B29" s="57" t="inlineStr">
        <is>
          <t>MOIC</t>
        </is>
      </c>
      <c r="C29" s="57" t="inlineStr">
        <is>
          <t>IRR</t>
        </is>
      </c>
    </row>
    <row r="30">
      <c r="A30" s="50" t="inlineStr">
        <is>
          <t>Bear</t>
        </is>
      </c>
      <c r="B30" s="65">
        <f>LBO_Sensitivity!C7</f>
        <v/>
      </c>
      <c r="C30" s="65">
        <f>LBO_Sensitivity!D7</f>
        <v/>
      </c>
      <c r="E30" s="60" t="inlineStr">
        <is>
          <t>Sponsor equity ≈ $11.6M. Deck slide 9 leads with the bull (≈3.7× / ~30% → ~$43M).</t>
        </is>
      </c>
    </row>
    <row r="31">
      <c r="A31" s="50" t="inlineStr">
        <is>
          <t>Base</t>
        </is>
      </c>
      <c r="B31" s="65">
        <f>LBO_Sensitivity!E7</f>
        <v/>
      </c>
      <c r="C31" s="65">
        <f>LBO_Sensitivity!F7</f>
        <v/>
      </c>
    </row>
    <row r="32">
      <c r="A32" s="50" t="inlineStr">
        <is>
          <t>Bull</t>
        </is>
      </c>
      <c r="B32" s="65">
        <f>LBO_Sensitivity!G7</f>
        <v/>
      </c>
      <c r="C32" s="65">
        <f>LBO_Sensitivity!H7</f>
        <v/>
      </c>
    </row>
    <row r="34">
      <c r="A34" s="49" t="inlineStr">
        <is>
          <t>VERDICT</t>
        </is>
      </c>
    </row>
    <row r="35">
      <c r="A35" s="66" t="inlineStr">
        <is>
          <t>Asymmetric, asset-protected search acquisition. Buy near book on a control basis at ~$2.95 (+14%); the asset floor (book $2.57, NCAV $1.08, both Graham tests pass) caps the downside, and the return is built by the operator (divest farm equipment, repay debt, grow the 17%-margin lab builder). Bear is a bounded, collateral-covered loss; cap leverage near $10M (&gt;55% wipes the bear). Conviction hinges on the undisclosed modular leg-split (data floor).</t>
        </is>
      </c>
    </row>
    <row r="36"/>
    <row r="37"/>
    <row r="38"/>
  </sheetData>
  <mergeCells count="1">
    <mergeCell ref="A35:H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30" customWidth="1" min="6" max="6"/>
  </cols>
  <sheetData>
    <row r="1">
      <c r="A1" s="1" t="inlineStr">
        <is>
          <t>Segment P&amp;L — Ag Products vs Modular Buildings ($000)</t>
        </is>
      </c>
    </row>
    <row r="2">
      <c r="A2" s="2" t="inlineStr">
        <is>
          <t>CITED: 10-K Note 17 / prior 10-K. The headline conglomerate optics mask a 17%-margin modular gem averaged with a money-losing ag anchor.</t>
        </is>
      </c>
    </row>
    <row r="4">
      <c r="A4" s="5" t="inlineStr">
        <is>
          <t>AGRICULTURAL PRODUCTS (the segment to divest)</t>
        </is>
      </c>
    </row>
    <row r="5">
      <c r="A5" s="14" t="inlineStr"/>
      <c r="B5" s="14" t="inlineStr">
        <is>
          <t>FY23</t>
        </is>
      </c>
      <c r="C5" s="14" t="inlineStr">
        <is>
          <t>FY24</t>
        </is>
      </c>
      <c r="D5" s="14" t="inlineStr">
        <is>
          <t>FY25</t>
        </is>
      </c>
      <c r="E5" t="inlineStr">
        <is>
          <t>Note</t>
        </is>
      </c>
    </row>
    <row r="6">
      <c r="A6" t="inlineStr">
        <is>
          <t>Revenue</t>
        </is>
      </c>
      <c r="B6" s="18" t="n">
        <v>22467</v>
      </c>
      <c r="C6" s="18" t="n">
        <v>14663</v>
      </c>
      <c r="D6" s="18" t="n">
        <v>12749</v>
      </c>
      <c r="F6" s="2" t="inlineStr">
        <is>
          <t>CITED — collapsed -13.1% FY25</t>
        </is>
      </c>
    </row>
    <row r="7">
      <c r="A7" t="inlineStr">
        <is>
          <t>Gross profit</t>
        </is>
      </c>
      <c r="B7" s="18" t="n">
        <v>6584</v>
      </c>
      <c r="C7" s="18" t="n">
        <v>4155</v>
      </c>
      <c r="D7" s="18" t="n">
        <v>2977</v>
      </c>
      <c r="F7" s="2" t="inlineStr">
        <is>
          <t>CITED — 23.4% GM FY25</t>
        </is>
      </c>
    </row>
    <row r="8">
      <c r="A8" t="inlineStr">
        <is>
          <t xml:space="preserve">  gross margin</t>
        </is>
      </c>
      <c r="B8" s="10">
        <f>B7/B6</f>
        <v/>
      </c>
      <c r="C8" s="10">
        <f>C7/C6</f>
        <v/>
      </c>
      <c r="D8" s="10">
        <f>D7/D6</f>
        <v/>
      </c>
      <c r="F8" s="2" t="inlineStr">
        <is>
          <t>calc</t>
        </is>
      </c>
    </row>
    <row r="9">
      <c r="A9" t="inlineStr">
        <is>
          <t>Operating income (loss)</t>
        </is>
      </c>
      <c r="B9" s="18" t="n">
        <v>664</v>
      </c>
      <c r="C9" s="18" t="n">
        <v>-1510</v>
      </c>
      <c r="D9" s="18" t="n">
        <v>-1462</v>
      </c>
      <c r="F9" s="2" t="inlineStr">
        <is>
          <t>CITED — lost ~$1.5M x2 yrs</t>
        </is>
      </c>
    </row>
    <row r="10">
      <c r="A10" t="inlineStr">
        <is>
          <t xml:space="preserve">  operating margin</t>
        </is>
      </c>
      <c r="B10" s="10">
        <f>B9/B6</f>
        <v/>
      </c>
      <c r="C10" s="10">
        <f>C9/C6</f>
        <v/>
      </c>
      <c r="D10" s="10">
        <f>D9/D6</f>
        <v/>
      </c>
      <c r="F10" s="2" t="inlineStr">
        <is>
          <t>calc</t>
        </is>
      </c>
    </row>
    <row r="11">
      <c r="A11" t="inlineStr">
        <is>
          <t>Total assets</t>
        </is>
      </c>
      <c r="B11" s="18" t="n">
        <v>20754</v>
      </c>
      <c r="C11" s="18" t="n">
        <v>18372</v>
      </c>
      <c r="D11" s="18" t="n">
        <v>19204</v>
      </c>
      <c r="F11" s="2" t="inlineStr">
        <is>
          <t>CITED — inventory-heavy anchor</t>
        </is>
      </c>
    </row>
    <row r="13">
      <c r="A13" s="5" t="inlineStr">
        <is>
          <t>MODULAR BUILDINGS (Art's-Way Scientific — the gem to keep)</t>
        </is>
      </c>
    </row>
    <row r="14">
      <c r="A14" s="14" t="inlineStr"/>
      <c r="B14" s="14" t="inlineStr">
        <is>
          <t>FY23</t>
        </is>
      </c>
      <c r="C14" s="14" t="inlineStr">
        <is>
          <t>FY24</t>
        </is>
      </c>
      <c r="D14" s="14" t="inlineStr">
        <is>
          <t>FY25</t>
        </is>
      </c>
      <c r="E14" t="inlineStr">
        <is>
          <t>Note</t>
        </is>
      </c>
    </row>
    <row r="15">
      <c r="A15" t="inlineStr">
        <is>
          <t>Revenue</t>
        </is>
      </c>
      <c r="B15" s="18" t="n">
        <v>7814</v>
      </c>
      <c r="C15" s="18" t="n">
        <v>9836</v>
      </c>
      <c r="D15" s="18" t="n">
        <v>10226</v>
      </c>
      <c r="F15" s="2" t="inlineStr">
        <is>
          <t>CITED — rose every yr +4.0% FY25</t>
        </is>
      </c>
    </row>
    <row r="16">
      <c r="A16" t="inlineStr">
        <is>
          <t>Gross profit</t>
        </is>
      </c>
      <c r="B16" s="18" t="n">
        <v>2000</v>
      </c>
      <c r="C16" s="18" t="n">
        <v>3155</v>
      </c>
      <c r="D16" s="18" t="n">
        <v>3290</v>
      </c>
      <c r="F16" s="2" t="inlineStr">
        <is>
          <t>CITED — 32.2% GM FY25</t>
        </is>
      </c>
    </row>
    <row r="17">
      <c r="A17" t="inlineStr">
        <is>
          <t xml:space="preserve">  gross margin</t>
        </is>
      </c>
      <c r="B17" s="10">
        <f>B16/B15</f>
        <v/>
      </c>
      <c r="C17" s="10">
        <f>C16/C15</f>
        <v/>
      </c>
      <c r="D17" s="10">
        <f>D16/D15</f>
        <v/>
      </c>
      <c r="F17" s="2" t="inlineStr">
        <is>
          <t>calc</t>
        </is>
      </c>
    </row>
    <row r="18">
      <c r="A18" t="inlineStr">
        <is>
          <t>Operating income</t>
        </is>
      </c>
      <c r="B18" s="18" t="n">
        <v>867</v>
      </c>
      <c r="C18" s="18" t="n">
        <v>1971</v>
      </c>
      <c r="D18" s="18" t="n">
        <v>1751</v>
      </c>
      <c r="F18" s="2" t="inlineStr">
        <is>
          <t>CITED — 17.1% op margin</t>
        </is>
      </c>
    </row>
    <row r="19">
      <c r="A19" t="inlineStr">
        <is>
          <t xml:space="preserve">  operating margin</t>
        </is>
      </c>
      <c r="B19" s="10">
        <f>B18/B15</f>
        <v/>
      </c>
      <c r="C19" s="10">
        <f>C18/C15</f>
        <v/>
      </c>
      <c r="D19" s="10">
        <f>D18/D15</f>
        <v/>
      </c>
      <c r="F19" s="2" t="inlineStr">
        <is>
          <t>calc</t>
        </is>
      </c>
    </row>
    <row r="20">
      <c r="A20" t="inlineStr">
        <is>
          <t>Total assets</t>
        </is>
      </c>
      <c r="B20" s="18" t="n">
        <v>2593</v>
      </c>
      <c r="C20" s="18" t="n">
        <v>2869</v>
      </c>
      <c r="D20" s="18" t="n">
        <v>3274</v>
      </c>
      <c r="F20" s="2" t="inlineStr">
        <is>
          <t>CITED — very asset-light</t>
        </is>
      </c>
    </row>
    <row r="21">
      <c r="A21" t="inlineStr">
        <is>
          <t>D&amp;A / capex FY25</t>
        </is>
      </c>
      <c r="D21" s="18" t="n">
        <v>251</v>
      </c>
      <c r="F21" s="2" t="inlineStr">
        <is>
          <t>CITED — capex $222K (light)</t>
        </is>
      </c>
    </row>
    <row r="23">
      <c r="A23" s="5" t="inlineStr">
        <is>
          <t>ERC NORMALIZATION (consolidated, $000) — the single most important adjustment</t>
        </is>
      </c>
    </row>
    <row r="24">
      <c r="A24" s="14" t="inlineStr"/>
      <c r="B24" s="14" t="inlineStr">
        <is>
          <t>FY25 reported</t>
        </is>
      </c>
      <c r="C24" s="14" t="inlineStr">
        <is>
          <t>Adjustment</t>
        </is>
      </c>
      <c r="D24" s="14" t="inlineStr">
        <is>
          <t>Ex-ERC</t>
        </is>
      </c>
      <c r="E24" t="inlineStr">
        <is>
          <t>Note</t>
        </is>
      </c>
    </row>
    <row r="25">
      <c r="A25" t="inlineStr">
        <is>
          <t>Consolidated revenue</t>
        </is>
      </c>
      <c r="B25" s="18" t="n">
        <v>22975</v>
      </c>
      <c r="F25" s="2" t="inlineStr">
        <is>
          <t>CITED -6.2%</t>
        </is>
      </c>
    </row>
    <row r="26">
      <c r="A26" t="inlineStr">
        <is>
          <t>Consolidated operating income</t>
        </is>
      </c>
      <c r="B26" s="18" t="n">
        <v>289</v>
      </c>
      <c r="F26" s="2" t="inlineStr">
        <is>
          <t>CITED — avg of 17% biz + loser</t>
        </is>
      </c>
    </row>
    <row r="27">
      <c r="A27" t="inlineStr">
        <is>
          <t>Other income (the ERC)</t>
        </is>
      </c>
      <c r="B27" s="19" t="n">
        <v>1514</v>
      </c>
      <c r="F27" s="2" t="inlineStr">
        <is>
          <t>CITED — Employee Retention Credit, vs $3K FY24</t>
        </is>
      </c>
    </row>
    <row r="28">
      <c r="A28" t="inlineStr">
        <is>
          <t>Reported net income</t>
        </is>
      </c>
      <c r="B28" s="18" t="n">
        <v>1035</v>
      </c>
      <c r="C28" s="18">
        <f>-B27</f>
        <v/>
      </c>
      <c r="D28" s="20">
        <f>B28+C28</f>
        <v/>
      </c>
      <c r="F28" s="2" t="inlineStr">
        <is>
          <t>CITED net income is an ERC mirage</t>
        </is>
      </c>
    </row>
    <row r="29">
      <c r="A29" s="11" t="inlineStr">
        <is>
          <t>Pretax ex-ERC (op inc - interest + true other)</t>
        </is>
      </c>
      <c r="B29" s="21">
        <f>B26-367</f>
        <v/>
      </c>
      <c r="F29" s="2" t="inlineStr">
        <is>
          <t>~break-even/slight loss (interest $367K)</t>
        </is>
      </c>
    </row>
    <row r="30">
      <c r="A30" t="inlineStr">
        <is>
          <t>Operating cash flow FY25</t>
        </is>
      </c>
      <c r="B30" s="22" t="n">
        <v>-904</v>
      </c>
      <c r="F30" s="2" t="inlineStr">
        <is>
          <t>CITED negative — ag inventory build (+$1,778K)</t>
        </is>
      </c>
    </row>
    <row r="31">
      <c r="A31" t="inlineStr">
        <is>
          <t>Cash income taxes paid FY25</t>
        </is>
      </c>
      <c r="B31" s="18" t="n">
        <v>13</v>
      </c>
      <c r="F31" s="2" t="inlineStr">
        <is>
          <t>CITED ~zero (NOL shield)</t>
        </is>
      </c>
    </row>
    <row r="33">
      <c r="A33" s="5" t="inlineStr">
        <is>
          <t>LEADING INDICATORS (CITED — strongest filing evidence of momentum)</t>
        </is>
      </c>
    </row>
    <row r="34">
      <c r="A34" t="inlineStr">
        <is>
          <t>Modular backlog Feb-2 2025 -&gt; 2026</t>
        </is>
      </c>
      <c r="B34" t="inlineStr">
        <is>
          <t>$2,403K -&gt; $4,882K (+103%)</t>
        </is>
      </c>
    </row>
    <row r="35">
      <c r="A35" t="inlineStr">
        <is>
          <t>Modular backlog as of Apr-7 2026</t>
        </is>
      </c>
      <c r="B35" t="inlineStr">
        <is>
          <t>$4,513K (+83% YoY)</t>
        </is>
      </c>
    </row>
    <row r="36">
      <c r="A36" t="inlineStr">
        <is>
          <t>Q1 FY26 modular revenue</t>
        </is>
      </c>
      <c r="B36" t="inlineStr">
        <is>
          <t>$2,886K vs $2,193K (+31.6%)</t>
        </is>
      </c>
    </row>
    <row r="37">
      <c r="A37" t="inlineStr">
        <is>
          <t>Ag Products net backlog 2025 -&gt; 2026</t>
        </is>
      </c>
      <c r="B37" t="inlineStr">
        <is>
          <t>$3,486K -&gt; $3,224K (-7.5%; beet equip hurt)</t>
        </is>
      </c>
    </row>
    <row r="39">
      <c r="A39" s="17" t="inlineStr">
        <is>
          <t>Read: Modular revenue rose every year (7.8-&gt;9.8-&gt;10.2) on ~$3.3M of assets while Ag collapsed (22.5-&gt;14.7-&gt;12.7) into losses. FY25 net income $1.035M is almost entirely the $1.514M one-time ERC; ex-ERC the company was break-even. The FY25 negative OCF is an AG inventory phenomenon — modular is asset-light and cash-generative (§A6).</t>
        </is>
      </c>
    </row>
    <row r="40"/>
  </sheetData>
  <mergeCells count="5">
    <mergeCell ref="B36:D36"/>
    <mergeCell ref="B37:D37"/>
    <mergeCell ref="B35:D35"/>
    <mergeCell ref="A39:F40"/>
    <mergeCell ref="B34:D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38" customWidth="1" min="6" max="6"/>
  </cols>
  <sheetData>
    <row r="1">
      <c r="A1" s="48" t="inlineStr">
        <is>
          <t>Sum-of-the-Parts — carve-out equity (control basis, v3)</t>
        </is>
      </c>
    </row>
    <row r="2">
      <c r="A2" s="60" t="inlineStr">
        <is>
          <t>Building EV = blend of DCF and multiple methods. Carve-out equity = Building EV + net Ag disposal − net debt. $ in millions.</t>
        </is>
      </c>
    </row>
    <row r="4">
      <c r="A4" s="49" t="inlineStr">
        <is>
          <t>1a. BUILDING EV — multiple method</t>
        </is>
      </c>
    </row>
    <row r="5">
      <c r="B5" s="57" t="inlineStr">
        <is>
          <t>Bear</t>
        </is>
      </c>
      <c r="C5" s="57" t="inlineStr">
        <is>
          <t>Base</t>
        </is>
      </c>
      <c r="D5" s="57" t="inlineStr">
        <is>
          <t>Bull</t>
        </is>
      </c>
    </row>
    <row r="6">
      <c r="A6" s="50" t="inlineStr">
        <is>
          <t>Standalone EBITDA used</t>
        </is>
      </c>
      <c r="B6" s="51" t="n">
        <v>1.4</v>
      </c>
      <c r="C6" s="51" t="n">
        <v>1.7</v>
      </c>
      <c r="D6" s="51" t="n">
        <v>2</v>
      </c>
      <c r="F6" s="60" t="inlineStr">
        <is>
          <t>EBITDA = seg EBITDA $2.0M − $0.30M standalone corp (v3). Multiple: 8× base (Limbach project-era ~9.5×, constr. median ~10×; project-economics cap &lt; that). 5/8/10×.</t>
        </is>
      </c>
    </row>
    <row r="7">
      <c r="A7" s="50" t="inlineStr">
        <is>
          <t>EV / EBITDA multiple</t>
        </is>
      </c>
      <c r="B7" s="67" t="n">
        <v>5</v>
      </c>
      <c r="C7" s="67" t="n">
        <v>8</v>
      </c>
      <c r="D7" s="67" t="n">
        <v>10</v>
      </c>
    </row>
    <row r="8">
      <c r="A8" s="61" t="inlineStr">
        <is>
          <t>Building EV (multiple)</t>
        </is>
      </c>
      <c r="B8" s="64">
        <f>B6*B7</f>
        <v/>
      </c>
      <c r="C8" s="64">
        <f>C6*C7</f>
        <v/>
      </c>
      <c r="D8" s="64">
        <f>D6*D7</f>
        <v/>
      </c>
    </row>
    <row r="10">
      <c r="A10" s="49" t="inlineStr">
        <is>
          <t>1b. BUILDING EV — DCF method (from ModularDCF tab)</t>
        </is>
      </c>
    </row>
    <row r="11">
      <c r="A11" s="50" t="inlineStr">
        <is>
          <t>Building EV (DCF)</t>
        </is>
      </c>
      <c r="B11" s="53">
        <f>ModularDCF!B49</f>
        <v/>
      </c>
      <c r="C11" s="53">
        <f>ModularDCF!C49</f>
        <v/>
      </c>
      <c r="D11" s="53">
        <f>ModularDCF!D49</f>
        <v/>
      </c>
    </row>
    <row r="13">
      <c r="A13" s="49" t="inlineStr">
        <is>
          <t>1c. BUILDING EV — blend (deck value)</t>
        </is>
      </c>
    </row>
    <row r="14">
      <c r="A14" s="68" t="inlineStr">
        <is>
          <t>Building EV = AVG(multiple, DCF)</t>
        </is>
      </c>
      <c r="B14" s="69">
        <f>AVERAGE(B8,B11)</f>
        <v/>
      </c>
      <c r="C14" s="69">
        <f>AVERAGE(C8,C11)</f>
        <v/>
      </c>
      <c r="D14" s="69">
        <f>AVERAGE(D8,D11)</f>
        <v/>
      </c>
      <c r="F14" s="60" t="inlineStr">
        <is>
          <t>Base 8× $13.6M &amp; DCF $14.5M → $14.0M (deck slide 10).</t>
        </is>
      </c>
    </row>
    <row r="16">
      <c r="A16" s="49" t="inlineStr">
        <is>
          <t>1d. AG DISPOSAL — orderly wind-down (recovery haircuts)</t>
        </is>
      </c>
    </row>
    <row r="17">
      <c r="B17" s="57" t="inlineStr">
        <is>
          <t>Asset $M</t>
        </is>
      </c>
      <c r="C17" s="57" t="inlineStr">
        <is>
          <t>Bear %</t>
        </is>
      </c>
      <c r="D17" s="57" t="inlineStr">
        <is>
          <t>Base %</t>
        </is>
      </c>
      <c r="E17" s="57" t="inlineStr">
        <is>
          <t>Bull %</t>
        </is>
      </c>
    </row>
    <row r="18">
      <c r="A18" s="50" t="inlineStr">
        <is>
          <t>Inventory (aged whole-goods)</t>
        </is>
      </c>
      <c r="B18" s="52" t="n">
        <v>9.5</v>
      </c>
      <c r="C18" s="54" t="n">
        <v>0.5</v>
      </c>
      <c r="D18" s="54" t="n">
        <v>0.6</v>
      </c>
      <c r="E18" s="54" t="n">
        <v>0.75</v>
      </c>
    </row>
    <row r="19">
      <c r="A19" s="50" t="inlineStr">
        <is>
          <t>Accounts receivable</t>
        </is>
      </c>
      <c r="B19" s="52" t="n">
        <v>1.6</v>
      </c>
      <c r="C19" s="54" t="n">
        <v>0.85</v>
      </c>
      <c r="D19" s="54" t="n">
        <v>0.95</v>
      </c>
      <c r="E19" s="54" t="n">
        <v>1</v>
      </c>
    </row>
    <row r="20">
      <c r="A20" s="50" t="inlineStr">
        <is>
          <t>PP&amp;E (single-purpose plant)</t>
        </is>
      </c>
      <c r="B20" s="52" t="n">
        <v>4.5</v>
      </c>
      <c r="C20" s="54" t="n">
        <v>0.3</v>
      </c>
      <c r="D20" s="54" t="n">
        <v>0.4</v>
      </c>
      <c r="E20" s="54" t="n">
        <v>0.55</v>
      </c>
    </row>
    <row r="21">
      <c r="A21" s="50" t="inlineStr">
        <is>
          <t>Gross disposal proceeds</t>
        </is>
      </c>
      <c r="C21" s="53">
        <f>SUMPRODUCT($B18:$B20,C18:C20)</f>
        <v/>
      </c>
      <c r="D21" s="53">
        <f>SUMPRODUCT($B18:$B20,D18:D20)</f>
        <v/>
      </c>
      <c r="E21" s="53">
        <f>SUMPRODUCT($B18:$B20,E18:E20)</f>
        <v/>
      </c>
    </row>
    <row r="22">
      <c r="A22" s="50" t="inlineStr">
        <is>
          <t>less: wind-down cost</t>
        </is>
      </c>
      <c r="C22" s="52" t="n">
        <v>-2</v>
      </c>
      <c r="D22" s="52" t="n">
        <v>-1.3</v>
      </c>
      <c r="E22" s="52" t="n">
        <v>-0.8</v>
      </c>
    </row>
    <row r="23">
      <c r="A23" s="61" t="inlineStr">
        <is>
          <t>Net Ag disposal proceeds</t>
        </is>
      </c>
      <c r="C23" s="64">
        <f>C21+C22</f>
        <v/>
      </c>
      <c r="D23" s="64">
        <f>D21+D22</f>
        <v/>
      </c>
      <c r="E23" s="64">
        <f>E21+E22</f>
        <v/>
      </c>
      <c r="F23" s="60" t="inlineStr">
        <is>
          <t>Base $7.7M (reviewer-disciplined; recoveries 60/95/40%).</t>
        </is>
      </c>
    </row>
    <row r="25">
      <c r="A25" s="49" t="inlineStr">
        <is>
          <t>1e. SOTP ROLL-UP → carve-out equity / share</t>
        </is>
      </c>
    </row>
    <row r="26">
      <c r="B26" s="57" t="inlineStr">
        <is>
          <t>Bear</t>
        </is>
      </c>
      <c r="C26" s="57" t="inlineStr">
        <is>
          <t>Base</t>
        </is>
      </c>
      <c r="D26" s="57" t="inlineStr">
        <is>
          <t>Bull</t>
        </is>
      </c>
    </row>
    <row r="27">
      <c r="A27" s="50" t="inlineStr">
        <is>
          <t>Building EV (from 1c)</t>
        </is>
      </c>
      <c r="B27" s="53">
        <f>B14</f>
        <v/>
      </c>
      <c r="C27" s="53">
        <f>C14</f>
        <v/>
      </c>
      <c r="D27" s="53">
        <f>D14</f>
        <v/>
      </c>
    </row>
    <row r="28">
      <c r="A28" s="50" t="inlineStr">
        <is>
          <t>+ Net Ag disposal (from 1d)</t>
        </is>
      </c>
      <c r="B28" s="53">
        <f>C23</f>
        <v/>
      </c>
      <c r="C28" s="53">
        <f>D23</f>
        <v/>
      </c>
      <c r="D28" s="53">
        <f>E23</f>
        <v/>
      </c>
    </row>
    <row r="29">
      <c r="A29" s="50" t="inlineStr">
        <is>
          <t>− Net debt at close</t>
        </is>
      </c>
      <c r="B29" s="53">
        <f>Summary!$B$8</f>
        <v/>
      </c>
      <c r="C29" s="53">
        <f>Summary!$B$8</f>
        <v/>
      </c>
      <c r="D29" s="53">
        <f>Summary!$B$8</f>
        <v/>
      </c>
    </row>
    <row r="30">
      <c r="A30" s="61" t="inlineStr">
        <is>
          <t>Carve-out equity ($M)</t>
        </is>
      </c>
      <c r="B30" s="64">
        <f>B27+B28-B29</f>
        <v/>
      </c>
      <c r="C30" s="64">
        <f>C27+C28-C29</f>
        <v/>
      </c>
      <c r="D30" s="64">
        <f>D27+D28-D29</f>
        <v/>
      </c>
    </row>
    <row r="31">
      <c r="A31" s="50" t="inlineStr">
        <is>
          <t>Shares (M, basic)</t>
        </is>
      </c>
      <c r="B31" s="53">
        <f>Summary!$B$6</f>
        <v/>
      </c>
      <c r="C31" s="53">
        <f>Summary!$B$6</f>
        <v/>
      </c>
      <c r="D31" s="53">
        <f>Summary!$B$6</f>
        <v/>
      </c>
    </row>
    <row r="32">
      <c r="A32" s="68" t="inlineStr">
        <is>
          <t>FAIR VALUE / SHARE ($)</t>
        </is>
      </c>
      <c r="B32" s="70">
        <f>B30/B31</f>
        <v/>
      </c>
      <c r="C32" s="70">
        <f>C30/C31</f>
        <v/>
      </c>
      <c r="D32" s="70">
        <f>D30/D31</f>
        <v/>
      </c>
    </row>
    <row r="33">
      <c r="A33" s="60" t="inlineStr">
        <is>
          <t>Base ties to deck: $14.0M + $7.7M − $6.4M = $15.3M ÷ 5.184M ≈ $2.95.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</cols>
  <sheetData>
    <row r="1">
      <c r="A1" s="48" t="inlineStr">
        <is>
          <t>Standalone Modular (lab-builder) DCF — v3, 3 scenarios ($M, explicit yr 1–7)</t>
        </is>
      </c>
    </row>
    <row r="2">
      <c r="A2" s="60" t="inlineStr">
        <is>
          <t>v3: WACC 14.0/12.5/11.5; EBITDA margin lifted to 16.6% base (corp-cost add-back $0.45M→$0.30M); near-term cash-tax holiday yrs 1–3 (NOL/§382, base &amp; bull). D&amp;A &amp; capex 2.5% rev (asset-light); ΔWC 10% of incremental rev.</t>
        </is>
      </c>
    </row>
    <row r="3">
      <c r="A3" s="49" t="inlineStr">
        <is>
          <t>Driver / Year</t>
        </is>
      </c>
      <c r="B3" s="57" t="inlineStr">
        <is>
          <t>Bear</t>
        </is>
      </c>
      <c r="C3" s="57" t="inlineStr">
        <is>
          <t>Base</t>
        </is>
      </c>
      <c r="D3" s="57" t="inlineStr">
        <is>
          <t>Bull</t>
        </is>
      </c>
    </row>
    <row r="4">
      <c r="A4" s="50" t="inlineStr">
        <is>
          <t>Base-year revenue (FY25 modular)</t>
        </is>
      </c>
      <c r="B4" s="52" t="n">
        <v>10.226</v>
      </c>
      <c r="C4" s="52" t="n">
        <v>10.226</v>
      </c>
      <c r="D4" s="52" t="n">
        <v>10.226</v>
      </c>
    </row>
    <row r="5">
      <c r="A5" s="50" t="inlineStr">
        <is>
          <t>Yr1 revenue growth</t>
        </is>
      </c>
      <c r="B5" s="71" t="n">
        <v>-0.1</v>
      </c>
      <c r="C5" s="71" t="n">
        <v>0.08</v>
      </c>
      <c r="D5" s="71" t="n">
        <v>0.18</v>
      </c>
    </row>
    <row r="6">
      <c r="A6" s="50" t="inlineStr">
        <is>
          <t>Yr2 revenue growth</t>
        </is>
      </c>
      <c r="B6" s="71" t="n">
        <v>-0.05</v>
      </c>
      <c r="C6" s="71" t="n">
        <v>0.06</v>
      </c>
      <c r="D6" s="71" t="n">
        <v>0.14</v>
      </c>
    </row>
    <row r="7">
      <c r="A7" s="50" t="inlineStr">
        <is>
          <t>Yr3 revenue growth</t>
        </is>
      </c>
      <c r="B7" s="71" t="n">
        <v>0</v>
      </c>
      <c r="C7" s="71" t="n">
        <v>0.05</v>
      </c>
      <c r="D7" s="71" t="n">
        <v>0.1</v>
      </c>
    </row>
    <row r="8">
      <c r="A8" s="50" t="inlineStr">
        <is>
          <t>Yr4 revenue growth</t>
        </is>
      </c>
      <c r="B8" s="71" t="n">
        <v>0.02</v>
      </c>
      <c r="C8" s="71" t="n">
        <v>0.04</v>
      </c>
      <c r="D8" s="71" t="n">
        <v>0.08</v>
      </c>
    </row>
    <row r="9">
      <c r="A9" s="50" t="inlineStr">
        <is>
          <t>Yr5 revenue growth</t>
        </is>
      </c>
      <c r="B9" s="71" t="n">
        <v>0.02</v>
      </c>
      <c r="C9" s="71" t="n">
        <v>0.04</v>
      </c>
      <c r="D9" s="71" t="n">
        <v>0.06</v>
      </c>
    </row>
    <row r="10">
      <c r="A10" s="50" t="inlineStr">
        <is>
          <t>Yr6 revenue growth</t>
        </is>
      </c>
      <c r="B10" s="71" t="n">
        <v>0.02</v>
      </c>
      <c r="C10" s="71" t="n">
        <v>0.035</v>
      </c>
      <c r="D10" s="71" t="n">
        <v>0.05</v>
      </c>
    </row>
    <row r="11">
      <c r="A11" s="50" t="inlineStr">
        <is>
          <t>Yr7 revenue growth</t>
        </is>
      </c>
      <c r="B11" s="71" t="n">
        <v>0.02</v>
      </c>
      <c r="C11" s="71" t="n">
        <v>0.03</v>
      </c>
      <c r="D11" s="71" t="n">
        <v>0.04</v>
      </c>
    </row>
    <row r="12">
      <c r="A12" s="50" t="inlineStr">
        <is>
          <t>EBITDA margin</t>
        </is>
      </c>
      <c r="B12" s="71" t="n">
        <v>0.13</v>
      </c>
      <c r="C12" s="71" t="n">
        <v>0.166</v>
      </c>
      <c r="D12" s="71" t="n">
        <v>0.19</v>
      </c>
    </row>
    <row r="13">
      <c r="A13" s="50" t="inlineStr">
        <is>
          <t>D&amp;A (% revenue)</t>
        </is>
      </c>
      <c r="B13" s="71" t="n">
        <v>0.025</v>
      </c>
      <c r="C13" s="71" t="n">
        <v>0.025</v>
      </c>
      <c r="D13" s="71" t="n">
        <v>0.025</v>
      </c>
    </row>
    <row r="14">
      <c r="A14" s="50" t="inlineStr">
        <is>
          <t>Capex (% revenue)</t>
        </is>
      </c>
      <c r="B14" s="71" t="n">
        <v>0.025</v>
      </c>
      <c r="C14" s="71" t="n">
        <v>0.025</v>
      </c>
      <c r="D14" s="71" t="n">
        <v>0.025</v>
      </c>
    </row>
    <row r="15">
      <c r="A15" s="50" t="inlineStr">
        <is>
          <t>ΔWC (% incremental rev)</t>
        </is>
      </c>
      <c r="B15" s="71" t="n">
        <v>0.1</v>
      </c>
      <c r="C15" s="71" t="n">
        <v>0.1</v>
      </c>
      <c r="D15" s="71" t="n">
        <v>0.1</v>
      </c>
    </row>
    <row r="16">
      <c r="A16" s="50" t="inlineStr">
        <is>
          <t>WACC</t>
        </is>
      </c>
      <c r="B16" s="71" t="n">
        <v>0.14</v>
      </c>
      <c r="C16" s="71" t="n">
        <v>0.125</v>
      </c>
      <c r="D16" s="71" t="n">
        <v>0.115</v>
      </c>
    </row>
    <row r="17">
      <c r="A17" s="50" t="inlineStr">
        <is>
          <t>Terminal growth</t>
        </is>
      </c>
      <c r="B17" s="71" t="n">
        <v>0.01</v>
      </c>
      <c r="C17" s="71" t="n">
        <v>0.025</v>
      </c>
      <c r="D17" s="71" t="n">
        <v>0.03</v>
      </c>
    </row>
    <row r="18">
      <c r="A18" s="50" t="inlineStr">
        <is>
          <t>Cash tax — yrs 1–3</t>
        </is>
      </c>
      <c r="B18" s="71" t="n">
        <v>0.15</v>
      </c>
      <c r="C18" s="71" t="n">
        <v>0</v>
      </c>
      <c r="D18" s="71" t="n">
        <v>0</v>
      </c>
    </row>
    <row r="19">
      <c r="A19" s="50" t="inlineStr">
        <is>
          <t>Cash tax — yrs 4–7</t>
        </is>
      </c>
      <c r="B19" s="71" t="n">
        <v>0.15</v>
      </c>
      <c r="C19" s="71" t="n">
        <v>0.15</v>
      </c>
      <c r="D19" s="71" t="n">
        <v>0.15</v>
      </c>
    </row>
    <row r="21">
      <c r="A21" s="49" t="inlineStr">
        <is>
          <t>PROJECTION ($M)</t>
        </is>
      </c>
    </row>
    <row r="22">
      <c r="A22" s="50" t="inlineStr">
        <is>
          <t>Revenue Yr1</t>
        </is>
      </c>
      <c r="B22" s="53">
        <f>B4*(1+B5)</f>
        <v/>
      </c>
      <c r="C22" s="53">
        <f>C4*(1+C5)</f>
        <v/>
      </c>
      <c r="D22" s="53">
        <f>D4*(1+D5)</f>
        <v/>
      </c>
    </row>
    <row r="23">
      <c r="A23" s="50" t="inlineStr">
        <is>
          <t>Revenue Yr2</t>
        </is>
      </c>
      <c r="B23" s="53">
        <f>B22*(1+B6)</f>
        <v/>
      </c>
      <c r="C23" s="53">
        <f>C22*(1+C6)</f>
        <v/>
      </c>
      <c r="D23" s="53">
        <f>D22*(1+D6)</f>
        <v/>
      </c>
    </row>
    <row r="24">
      <c r="A24" s="50" t="inlineStr">
        <is>
          <t>Revenue Yr3</t>
        </is>
      </c>
      <c r="B24" s="53">
        <f>B23*(1+B7)</f>
        <v/>
      </c>
      <c r="C24" s="53">
        <f>C23*(1+C7)</f>
        <v/>
      </c>
      <c r="D24" s="53">
        <f>D23*(1+D7)</f>
        <v/>
      </c>
    </row>
    <row r="25">
      <c r="A25" s="50" t="inlineStr">
        <is>
          <t>Revenue Yr4</t>
        </is>
      </c>
      <c r="B25" s="53">
        <f>B24*(1+B8)</f>
        <v/>
      </c>
      <c r="C25" s="53">
        <f>C24*(1+C8)</f>
        <v/>
      </c>
      <c r="D25" s="53">
        <f>D24*(1+D8)</f>
        <v/>
      </c>
    </row>
    <row r="26">
      <c r="A26" s="50" t="inlineStr">
        <is>
          <t>Revenue Yr5</t>
        </is>
      </c>
      <c r="B26" s="53">
        <f>B25*(1+B9)</f>
        <v/>
      </c>
      <c r="C26" s="53">
        <f>C25*(1+C9)</f>
        <v/>
      </c>
      <c r="D26" s="53">
        <f>D25*(1+D9)</f>
        <v/>
      </c>
    </row>
    <row r="27">
      <c r="A27" s="50" t="inlineStr">
        <is>
          <t>Revenue Yr6</t>
        </is>
      </c>
      <c r="B27" s="53">
        <f>B26*(1+B10)</f>
        <v/>
      </c>
      <c r="C27" s="53">
        <f>C26*(1+C10)</f>
        <v/>
      </c>
      <c r="D27" s="53">
        <f>D26*(1+D10)</f>
        <v/>
      </c>
    </row>
    <row r="28">
      <c r="A28" s="50" t="inlineStr">
        <is>
          <t>Revenue Yr7</t>
        </is>
      </c>
      <c r="B28" s="53">
        <f>B27*(1+B11)</f>
        <v/>
      </c>
      <c r="C28" s="53">
        <f>C27*(1+C11)</f>
        <v/>
      </c>
      <c r="D28" s="53">
        <f>D27*(1+D11)</f>
        <v/>
      </c>
    </row>
    <row r="29">
      <c r="A29" s="49" t="inlineStr">
        <is>
          <t>Free cash flow ($M)</t>
        </is>
      </c>
    </row>
    <row r="30">
      <c r="A30" s="50" t="inlineStr">
        <is>
          <t>FCF Yr1</t>
        </is>
      </c>
      <c r="B30" s="53">
        <f>B22*B$12-B$18*(B22*B$12-B22*B$13)-B22*B$14-B$15*(B22-B4)</f>
        <v/>
      </c>
      <c r="C30" s="53">
        <f>C22*C$12-C$18*(C22*C$12-C22*C$13)-C22*C$14-C$15*(C22-C4)</f>
        <v/>
      </c>
      <c r="D30" s="53">
        <f>D22*D$12-D$18*(D22*D$12-D22*D$13)-D22*D$14-D$15*(D22-D4)</f>
        <v/>
      </c>
    </row>
    <row r="31">
      <c r="A31" s="50" t="inlineStr">
        <is>
          <t>FCF Yr2</t>
        </is>
      </c>
      <c r="B31" s="53">
        <f>B23*B$12-B$18*(B23*B$12-B23*B$13)-B23*B$14-B$15*(B23-B22)</f>
        <v/>
      </c>
      <c r="C31" s="53">
        <f>C23*C$12-C$18*(C23*C$12-C23*C$13)-C23*C$14-C$15*(C23-C22)</f>
        <v/>
      </c>
      <c r="D31" s="53">
        <f>D23*D$12-D$18*(D23*D$12-D23*D$13)-D23*D$14-D$15*(D23-D22)</f>
        <v/>
      </c>
    </row>
    <row r="32">
      <c r="A32" s="50" t="inlineStr">
        <is>
          <t>FCF Yr3</t>
        </is>
      </c>
      <c r="B32" s="53">
        <f>B24*B$12-B$18*(B24*B$12-B24*B$13)-B24*B$14-B$15*(B24-B23)</f>
        <v/>
      </c>
      <c r="C32" s="53">
        <f>C24*C$12-C$18*(C24*C$12-C24*C$13)-C24*C$14-C$15*(C24-C23)</f>
        <v/>
      </c>
      <c r="D32" s="53">
        <f>D24*D$12-D$18*(D24*D$12-D24*D$13)-D24*D$14-D$15*(D24-D23)</f>
        <v/>
      </c>
    </row>
    <row r="33">
      <c r="A33" s="50" t="inlineStr">
        <is>
          <t>FCF Yr4</t>
        </is>
      </c>
      <c r="B33" s="53">
        <f>B25*B$12-B$19*(B25*B$12-B25*B$13)-B25*B$14-B$15*(B25-B24)</f>
        <v/>
      </c>
      <c r="C33" s="53">
        <f>C25*C$12-C$19*(C25*C$12-C25*C$13)-C25*C$14-C$15*(C25-C24)</f>
        <v/>
      </c>
      <c r="D33" s="53">
        <f>D25*D$12-D$19*(D25*D$12-D25*D$13)-D25*D$14-D$15*(D25-D24)</f>
        <v/>
      </c>
    </row>
    <row r="34">
      <c r="A34" s="50" t="inlineStr">
        <is>
          <t>FCF Yr5</t>
        </is>
      </c>
      <c r="B34" s="53">
        <f>B26*B$12-B$19*(B26*B$12-B26*B$13)-B26*B$14-B$15*(B26-B25)</f>
        <v/>
      </c>
      <c r="C34" s="53">
        <f>C26*C$12-C$19*(C26*C$12-C26*C$13)-C26*C$14-C$15*(C26-C25)</f>
        <v/>
      </c>
      <c r="D34" s="53">
        <f>D26*D$12-D$19*(D26*D$12-D26*D$13)-D26*D$14-D$15*(D26-D25)</f>
        <v/>
      </c>
    </row>
    <row r="35">
      <c r="A35" s="50" t="inlineStr">
        <is>
          <t>FCF Yr6</t>
        </is>
      </c>
      <c r="B35" s="53">
        <f>B27*B$12-B$19*(B27*B$12-B27*B$13)-B27*B$14-B$15*(B27-B26)</f>
        <v/>
      </c>
      <c r="C35" s="53">
        <f>C27*C$12-C$19*(C27*C$12-C27*C$13)-C27*C$14-C$15*(C27-C26)</f>
        <v/>
      </c>
      <c r="D35" s="53">
        <f>D27*D$12-D$19*(D27*D$12-D27*D$13)-D27*D$14-D$15*(D27-D26)</f>
        <v/>
      </c>
    </row>
    <row r="36">
      <c r="A36" s="50" t="inlineStr">
        <is>
          <t>FCF Yr7</t>
        </is>
      </c>
      <c r="B36" s="53">
        <f>B28*B$12-B$19*(B28*B$12-B28*B$13)-B28*B$14-B$15*(B28-B27)</f>
        <v/>
      </c>
      <c r="C36" s="53">
        <f>C28*C$12-C$19*(C28*C$12-C28*C$13)-C28*C$14-C$15*(C28-C27)</f>
        <v/>
      </c>
      <c r="D36" s="53">
        <f>D28*D$12-D$19*(D28*D$12-D28*D$13)-D28*D$14-D$15*(D28-D27)</f>
        <v/>
      </c>
    </row>
    <row r="37">
      <c r="A37" s="49" t="inlineStr">
        <is>
          <t>PV of FCF ($M)</t>
        </is>
      </c>
    </row>
    <row r="38">
      <c r="A38" s="50" t="inlineStr">
        <is>
          <t>PV FCF Yr1</t>
        </is>
      </c>
      <c r="B38" s="53">
        <f>B30/(1+B$16)^1</f>
        <v/>
      </c>
      <c r="C38" s="53">
        <f>C30/(1+C$16)^1</f>
        <v/>
      </c>
      <c r="D38" s="53">
        <f>D30/(1+D$16)^1</f>
        <v/>
      </c>
    </row>
    <row r="39">
      <c r="A39" s="50" t="inlineStr">
        <is>
          <t>PV FCF Yr2</t>
        </is>
      </c>
      <c r="B39" s="53">
        <f>B31/(1+B$16)^2</f>
        <v/>
      </c>
      <c r="C39" s="53">
        <f>C31/(1+C$16)^2</f>
        <v/>
      </c>
      <c r="D39" s="53">
        <f>D31/(1+D$16)^2</f>
        <v/>
      </c>
    </row>
    <row r="40">
      <c r="A40" s="50" t="inlineStr">
        <is>
          <t>PV FCF Yr3</t>
        </is>
      </c>
      <c r="B40" s="53">
        <f>B32/(1+B$16)^3</f>
        <v/>
      </c>
      <c r="C40" s="53">
        <f>C32/(1+C$16)^3</f>
        <v/>
      </c>
      <c r="D40" s="53">
        <f>D32/(1+D$16)^3</f>
        <v/>
      </c>
    </row>
    <row r="41">
      <c r="A41" s="50" t="inlineStr">
        <is>
          <t>PV FCF Yr4</t>
        </is>
      </c>
      <c r="B41" s="53">
        <f>B33/(1+B$16)^4</f>
        <v/>
      </c>
      <c r="C41" s="53">
        <f>C33/(1+C$16)^4</f>
        <v/>
      </c>
      <c r="D41" s="53">
        <f>D33/(1+D$16)^4</f>
        <v/>
      </c>
    </row>
    <row r="42">
      <c r="A42" s="50" t="inlineStr">
        <is>
          <t>PV FCF Yr5</t>
        </is>
      </c>
      <c r="B42" s="53">
        <f>B34/(1+B$16)^5</f>
        <v/>
      </c>
      <c r="C42" s="53">
        <f>C34/(1+C$16)^5</f>
        <v/>
      </c>
      <c r="D42" s="53">
        <f>D34/(1+D$16)^5</f>
        <v/>
      </c>
    </row>
    <row r="43">
      <c r="A43" s="50" t="inlineStr">
        <is>
          <t>PV FCF Yr6</t>
        </is>
      </c>
      <c r="B43" s="53">
        <f>B35/(1+B$16)^6</f>
        <v/>
      </c>
      <c r="C43" s="53">
        <f>C35/(1+C$16)^6</f>
        <v/>
      </c>
      <c r="D43" s="53">
        <f>D35/(1+D$16)^6</f>
        <v/>
      </c>
    </row>
    <row r="44">
      <c r="A44" s="50" t="inlineStr">
        <is>
          <t>PV FCF Yr7</t>
        </is>
      </c>
      <c r="B44" s="53">
        <f>B36/(1+B$16)^7</f>
        <v/>
      </c>
      <c r="C44" s="53">
        <f>C36/(1+C$16)^7</f>
        <v/>
      </c>
      <c r="D44" s="53">
        <f>D36/(1+D$16)^7</f>
        <v/>
      </c>
    </row>
    <row r="46">
      <c r="A46" s="61" t="inlineStr">
        <is>
          <t>PV explicit FCF (sum)</t>
        </is>
      </c>
      <c r="B46" s="64">
        <f>SUM(B38:B44)</f>
        <v/>
      </c>
      <c r="C46" s="64">
        <f>SUM(C38:C44)</f>
        <v/>
      </c>
      <c r="D46" s="64">
        <f>SUM(D38:D44)</f>
        <v/>
      </c>
    </row>
    <row r="47">
      <c r="A47" s="50" t="inlineStr">
        <is>
          <t>Terminal value (on Yr7 FCF)</t>
        </is>
      </c>
      <c r="B47" s="53">
        <f>B36*(1+B$17)/(B$16-B$17)</f>
        <v/>
      </c>
      <c r="C47" s="53">
        <f>C36*(1+C$17)/(C$16-C$17)</f>
        <v/>
      </c>
      <c r="D47" s="53">
        <f>D36*(1+D$17)/(D$16-D$17)</f>
        <v/>
      </c>
    </row>
    <row r="48">
      <c r="A48" s="50" t="inlineStr">
        <is>
          <t>PV of terminal value</t>
        </is>
      </c>
      <c r="B48" s="53">
        <f>B47/(1+B$16)^7</f>
        <v/>
      </c>
      <c r="C48" s="53">
        <f>C47/(1+C$16)^7</f>
        <v/>
      </c>
      <c r="D48" s="53">
        <f>D47/(1+D$16)^7</f>
        <v/>
      </c>
    </row>
    <row r="49">
      <c r="A49" s="68" t="inlineStr">
        <is>
          <t>MODULAR ENTERPRISE VALUE ($M)</t>
        </is>
      </c>
      <c r="B49" s="69">
        <f>B46+B48</f>
        <v/>
      </c>
      <c r="C49" s="69">
        <f>C46+C48</f>
        <v/>
      </c>
      <c r="D49" s="69">
        <f>D46+D48</f>
        <v/>
      </c>
    </row>
    <row r="51">
      <c r="A51" s="60" t="inlineStr">
        <is>
          <t>Targets (model.md §v3b): DCF EV bear $6.2M / base $14.5M / bull $24.8M.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70" customWidth="1" min="4" max="4"/>
  </cols>
  <sheetData>
    <row r="1">
      <c r="A1" s="48" t="inlineStr">
        <is>
          <t>Value-Creation Waterfall — building business ($M, control basis)</t>
        </is>
      </c>
    </row>
    <row r="2">
      <c r="A2" s="60" t="inlineStr">
        <is>
          <t>Deck slide 8. Three operator levers the buyer actually builds, plus a smaller market re-rating. Driver assumptions benchmarked in model.md §v4; the high-/low-end leg split is undisclosed (mix lever is an estimate).</t>
        </is>
      </c>
    </row>
    <row r="4">
      <c r="A4" s="56" t="inlineStr">
        <is>
          <t>Lever</t>
        </is>
      </c>
      <c r="B4" s="57" t="inlineStr">
        <is>
          <t>Value add ($M)</t>
        </is>
      </c>
      <c r="C4" s="56" t="inlineStr">
        <is>
          <t>Bucket</t>
        </is>
      </c>
      <c r="D4" s="56" t="inlineStr">
        <is>
          <t>Driver</t>
        </is>
      </c>
    </row>
    <row r="5">
      <c r="A5" s="61" t="inlineStr">
        <is>
          <t>Building business today (control basis)</t>
        </is>
      </c>
      <c r="B5" s="64">
        <f>SOTP!C14</f>
        <v/>
      </c>
    </row>
    <row r="6">
      <c r="A6" s="50" t="inlineStr">
        <is>
          <t>Grow sales</t>
        </is>
      </c>
      <c r="B6" s="52" t="n">
        <v>3.3</v>
      </c>
      <c r="C6" s="50" t="inlineStr">
        <is>
          <t>Commercial</t>
        </is>
      </c>
      <c r="D6" s="4" t="inlineStr">
        <is>
          <t>Real head of sales lifts growth ~2–3% → ~6–8%/yr (backlog +103% under a part-time president).</t>
        </is>
      </c>
    </row>
    <row r="7">
      <c r="A7" s="50" t="inlineStr">
        <is>
          <t>Move up-market</t>
        </is>
      </c>
      <c r="B7" s="52" t="n">
        <v>2.4</v>
      </c>
      <c r="C7" s="50" t="inlineStr">
        <is>
          <t>Mix shift</t>
        </is>
      </c>
      <c r="D7" s="4" t="inlineStr">
        <is>
          <t>Shift to BSL-3/GMP (2–3× $/sq ft) lifts blended op margin ~17% → ~19–21%.</t>
        </is>
      </c>
    </row>
    <row r="8">
      <c r="A8" s="50" t="inlineStr">
        <is>
          <t>Upsell the installed base</t>
        </is>
      </c>
      <c r="B8" s="52" t="n">
        <v>1.7</v>
      </c>
      <c r="C8" s="50" t="inlineStr">
        <is>
          <t>Service tail</t>
        </is>
      </c>
      <c r="D8" s="4" t="inlineStr">
        <is>
          <t>Annual re-certification/monitoring resold to 150+ delivered buildings (~$7B fragmented services).</t>
        </is>
      </c>
    </row>
    <row r="9">
      <c r="A9" s="50" t="inlineStr">
        <is>
          <t>Re-rate (a market call)</t>
        </is>
      </c>
      <c r="B9" s="52" t="n">
        <v>1.5</v>
      </c>
      <c r="C9" s="50" t="inlineStr">
        <is>
          <t>Re-rate</t>
        </is>
      </c>
      <c r="D9" s="4" t="inlineStr">
        <is>
          <t>Standalone faster-growing biocontainment builder toward ~10× sector median. Sized smallest.</t>
        </is>
      </c>
    </row>
    <row r="10">
      <c r="A10" s="72" t="inlineStr">
        <is>
          <t>Building business if all four work</t>
        </is>
      </c>
      <c r="B10" s="73">
        <f>B5+SUM(B6:B9)</f>
        <v/>
      </c>
    </row>
    <row r="12">
      <c r="A12" s="60" t="inlineStr">
        <is>
          <t>Target ties to deck: $14.0M → $22.9M.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36" customWidth="1" min="5" max="5"/>
  </cols>
  <sheetData>
    <row r="1">
      <c r="A1" s="1" t="inlineStr">
        <is>
          <t>Two-leg operating model — Art's-Way Scientific standalone</t>
        </is>
      </c>
    </row>
    <row r="2">
      <c r="A2" s="3" t="inlineStr">
        <is>
          <t>The 60/40 split is ESTIMATED — THE DATA FLOOR (§A3/§10). Below the segment total, everything is estimated from one '+$1.355M ag-building' breadcrumb.</t>
        </is>
      </c>
    </row>
    <row r="4">
      <c r="A4" s="14" t="inlineStr">
        <is>
          <t>Leg</t>
        </is>
      </c>
      <c r="B4" s="14" t="inlineStr">
        <is>
          <t>FY25 rev $M</t>
        </is>
      </c>
      <c r="C4" s="14" t="inlineStr">
        <is>
          <t>% of modular</t>
        </is>
      </c>
      <c r="D4" s="14" t="inlineStr">
        <is>
          <t>Base near-term growth</t>
        </is>
      </c>
      <c r="E4" s="14" t="inlineStr">
        <is>
          <t>Policy macro</t>
        </is>
      </c>
    </row>
    <row r="5" ht="44" customHeight="1">
      <c r="A5" t="inlineStr">
        <is>
          <t>Research / biocontainment labs</t>
        </is>
      </c>
      <c r="B5" s="23" t="n">
        <v>6.1</v>
      </c>
      <c r="C5" s="10">
        <f>B5/B7</f>
        <v/>
      </c>
      <c r="D5" s="30" t="inlineStr">
        <is>
          <t>flat-to-+3% -&gt; +5-7%</t>
        </is>
      </c>
      <c r="E5" s="4" t="inlineStr">
        <is>
          <t>NIH-uncertainty CHILL (cap struck down Jan-26) -&gt; secular tailwind; pharma/biodefense/DoD/private diagnostics diversify off NIH</t>
        </is>
      </c>
    </row>
    <row r="6" ht="44" customHeight="1">
      <c r="A6" t="inlineStr">
        <is>
          <t>Ag / animal-biosecurity buildings</t>
        </is>
      </c>
      <c r="B6" s="23" t="n">
        <v>4.1</v>
      </c>
      <c r="C6" s="10">
        <f>B6/B7</f>
        <v/>
      </c>
      <c r="D6" s="30" t="inlineStr">
        <is>
          <t>+5% then revert +2-3%</t>
        </is>
      </c>
      <c r="E6" s="4" t="inlineStr">
        <is>
          <t>USDA up-to-$1B HPAI plan ($500M cost-share @75%) FUNDING NOW; drove FY25 +$1.355M (+49%); event-driven/cyclical</t>
        </is>
      </c>
    </row>
    <row r="7">
      <c r="A7" s="11" t="inlineStr">
        <is>
          <t>Total modular (cited)</t>
        </is>
      </c>
      <c r="B7" s="25" t="n">
        <v>10.226</v>
      </c>
      <c r="C7" s="31">
        <f>C5+C6</f>
        <v/>
      </c>
    </row>
    <row r="9">
      <c r="A9" s="5" t="inlineStr">
        <is>
          <t>THE POLICY HEDGE (the most attractive structural feature)</t>
        </is>
      </c>
    </row>
    <row r="10">
      <c r="A10" s="17" t="inlineStr">
        <is>
          <t>The two legs are NEGATIVELY CORRELATED ON POLICY: when the research leg is chilled by federal-science budget fights, the ag-bio leg is funded by a different federal pocket (USDA biosecurity). A single 'modular farm-building' tag misses this hedge entirely. Blended segment ~32% GM / ~17% op margin (cited), lumpy/project-based. Backlog $4.88M (Feb-26, +103% YoY) underwrites ~6 months visibility.</t>
        </is>
      </c>
    </row>
    <row r="11"/>
    <row r="12"/>
    <row r="14">
      <c r="A14" s="5" t="inlineStr">
        <is>
          <t>WHY THE SPLIT IS THE #2 TORNADO DRIVER</t>
        </is>
      </c>
    </row>
    <row r="15">
      <c r="A15" s="17" t="inlineStr">
        <is>
          <t>The 10-K gives only the modular segment total ($10.226M rev, $1.751M op inc) and the '+$1.355M ag-building' breadcrumb (implies FY24 ag-building base ~$2.77M -&gt; FY25 ag-bio leg ~$4.1M = ~40%). Margins by leg are NOT disclosed; research-lab assumed higher margin (BSL/vivarium, longer cycle), ag-bio lower, blending to the cited 32.2% GM. Closes only with IR/management calls or if ARTW breaks out the legs.</t>
        </is>
      </c>
    </row>
    <row r="16"/>
    <row r="17"/>
  </sheetData>
  <mergeCells count="2">
    <mergeCell ref="A15:E17"/>
    <mergeCell ref="A10:E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40" customWidth="1" min="4" max="4"/>
  </cols>
  <sheetData>
    <row r="1">
      <c r="A1" s="1" t="inlineStr">
        <is>
          <t>Graham 'strong financial condition' test (Defensive Investor)</t>
        </is>
      </c>
    </row>
    <row r="2">
      <c r="A2" s="2" t="inlineStr">
        <is>
          <t>CITED: FY25 10-K MD&amp;A working-capital table (p.511) + balance sheet / Note 10. Contrast HCKT which FAILED both prongs.</t>
        </is>
      </c>
    </row>
    <row r="4">
      <c r="A4" s="14" t="inlineStr">
        <is>
          <t>Item</t>
        </is>
      </c>
      <c r="B4" s="14" t="inlineStr">
        <is>
          <t>Value</t>
        </is>
      </c>
      <c r="C4" s="14" t="inlineStr">
        <is>
          <t>Test</t>
        </is>
      </c>
      <c r="D4" s="14" t="inlineStr">
        <is>
          <t>Note</t>
        </is>
      </c>
    </row>
    <row r="5">
      <c r="A5" t="inlineStr">
        <is>
          <t>Current assets ($M)</t>
        </is>
      </c>
      <c r="B5" s="23" t="n">
        <v>14.78</v>
      </c>
      <c r="D5" s="2" t="inlineStr">
        <is>
          <t>CITED — FY25 balance sheet</t>
        </is>
      </c>
    </row>
    <row r="6">
      <c r="A6" t="inlineStr">
        <is>
          <t>Current liabilities ($M)</t>
        </is>
      </c>
      <c r="B6" s="23" t="n">
        <v>6.44</v>
      </c>
      <c r="D6" s="2" t="inlineStr">
        <is>
          <t>CITED — implied (WC $8.34M = CA - CL)</t>
        </is>
      </c>
    </row>
    <row r="7">
      <c r="A7" s="27" t="inlineStr">
        <is>
          <t>Current ratio  (Graham test: &gt;= 2.0)</t>
        </is>
      </c>
      <c r="B7" s="37">
        <f>B5/B6</f>
        <v/>
      </c>
      <c r="C7" s="16">
        <f>IF(B7&gt;=2,"PASS","FAIL")</f>
        <v/>
      </c>
      <c r="D7" s="2" t="inlineStr">
        <is>
          <t>CITED 2.30x (FY24 1.98x) — PASSES</t>
        </is>
      </c>
    </row>
    <row r="8">
      <c r="A8" t="inlineStr">
        <is>
          <t>Working capital (net current assets, $M)</t>
        </is>
      </c>
      <c r="B8" s="8">
        <f>B5-B6</f>
        <v/>
      </c>
      <c r="D8" s="2" t="inlineStr">
        <is>
          <t>CITED $8.34M (FY24 $6.49M)</t>
        </is>
      </c>
    </row>
    <row r="10">
      <c r="A10" t="inlineStr">
        <is>
          <t>Long-term debt ($M)</t>
        </is>
      </c>
      <c r="B10" s="23" t="n">
        <v>2.73</v>
      </c>
      <c r="D10" s="2" t="inlineStr">
        <is>
          <t>CITED — LT term loans $2.325M + LT finance lease $0.408M</t>
        </is>
      </c>
    </row>
    <row r="11">
      <c r="A11" s="27" t="inlineStr">
        <is>
          <t>LT debt &lt;= working capital  (Graham test)</t>
        </is>
      </c>
      <c r="B11" s="37">
        <f>B10/B8</f>
        <v/>
      </c>
      <c r="C11" s="16">
        <f>IF(B10&lt;=B8,"PASS","FAIL")</f>
        <v/>
      </c>
      <c r="D11" s="2" t="inlineStr">
        <is>
          <t>LT debt $2.73M &lt;= WC $8.34M — PASSES</t>
        </is>
      </c>
    </row>
    <row r="13">
      <c r="A13" s="16" t="inlineStr">
        <is>
          <t>RESULT: PASSES BOTH PRONGS.</t>
        </is>
      </c>
    </row>
    <row r="14">
      <c r="A14" s="17" t="inlineStr">
        <is>
          <t>Unlike HCKT (current ratio 1.88x FAIL; LT debt $78.8M &gt; WC $38.2M FAIL), ARTW has a genuine static balance-sheet floor — the downside is partly asset-backed (inventory + plant + 1.0x book), not carried solely by earning power. Also: NCAV $1.08/sh (~42% of price), book value $2.57 ≈ price (~1.0x book).</t>
        </is>
      </c>
    </row>
    <row r="15"/>
    <row r="16"/>
  </sheetData>
  <mergeCells count="1">
    <mergeCell ref="A14:D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18" customWidth="1" min="3" max="3"/>
    <col width="11" customWidth="1" min="4" max="4"/>
    <col width="10" customWidth="1" min="5" max="5"/>
    <col width="10" customWidth="1" min="6" max="6"/>
    <col width="11" customWidth="1" min="7" max="7"/>
    <col width="70" customWidth="1" min="8" max="8"/>
  </cols>
  <sheetData>
    <row r="1">
      <c r="A1" s="1" t="inlineStr">
        <is>
          <t>Peer comp set — multiples behind the SOTP &amp; DCF</t>
        </is>
      </c>
    </row>
    <row r="2">
      <c r="A2" s="2" t="inlineStr">
        <is>
          <t>Source: data/research/artw/peer_benchmarks.csv. FONR = precedent transaction (the base anchor); WSC = leasing ceiling (not comparable); construction median ~10x.</t>
        </is>
      </c>
    </row>
    <row r="4">
      <c r="A4" s="14" t="inlineStr">
        <is>
          <t>Ticker</t>
        </is>
      </c>
      <c r="B4" s="14" t="inlineStr">
        <is>
          <t>Name</t>
        </is>
      </c>
      <c r="C4" s="14" t="inlineStr">
        <is>
          <t>Inclusion</t>
        </is>
      </c>
      <c r="D4" s="14" t="inlineStr">
        <is>
          <t>EV/EBITDA</t>
        </is>
      </c>
      <c r="E4" s="14" t="inlineStr">
        <is>
          <t>EV/Rev</t>
        </is>
      </c>
      <c r="F4" s="14" t="inlineStr">
        <is>
          <t>Rev gr %</t>
        </is>
      </c>
      <c r="G4" s="14" t="inlineStr">
        <is>
          <t>EBITDA mgn</t>
        </is>
      </c>
      <c r="H4" s="14" t="inlineStr">
        <is>
          <t>Notes</t>
        </is>
      </c>
    </row>
    <row r="5">
      <c r="A5" s="11" t="inlineStr">
        <is>
          <t>ARTW</t>
        </is>
      </c>
      <c r="B5" s="35" t="inlineStr">
        <is>
          <t>Art's-Way Manufacturing</t>
        </is>
      </c>
      <c r="C5" s="35" t="inlineStr">
        <is>
          <t>subject</t>
        </is>
      </c>
      <c r="D5" s="35" t="n"/>
      <c r="E5" s="35" t="n"/>
      <c r="F5" s="38" t="n">
        <v>-0.062</v>
      </c>
      <c r="G5" s="38" t="n">
        <v>0.046</v>
      </c>
      <c r="H5" s="17" t="inlineStr">
        <is>
          <t>Consolidated. FY25 rev $22.975M; op inc $0.289M; EBITDA approx op inc $0.289M + D&amp;A $0.792M = ~$1.08M (1.06M est). Two segments: Ag Products (loss-making) + Modular Buildings (Art's-Way Scientific, ~17% op margin). FCF negative FY25 (OCF -$0.904M). EV ~$19.85M.</t>
        </is>
      </c>
    </row>
    <row r="6">
      <c r="A6" t="inlineStr">
        <is>
          <t>FONR</t>
        </is>
      </c>
      <c r="B6" t="inlineStr">
        <is>
          <t>Fonar Corp</t>
        </is>
      </c>
      <c r="C6" t="inlineStr">
        <is>
          <t>excluded</t>
        </is>
      </c>
      <c r="D6" s="29" t="n">
        <v>8</v>
      </c>
      <c r="E6" s="29" t="n">
        <v>0.9399999999999999</v>
      </c>
      <c r="H6" s="17" t="inlineStr">
        <is>
          <t>EXCLUDED as a reference (v3): Fonar is a diagnostic-imaging (MRI) micro-cap with NO end-market/business-model overlap -- a separately-screened name, not an industry comp. Multiple now anchored on CONSTR (~10.3x) capped by WSC; premium on controlled-company freeze-out comps, not FONR's 31.5%.</t>
        </is>
      </c>
    </row>
    <row r="7">
      <c r="A7" t="inlineStr">
        <is>
          <t>WSC</t>
        </is>
      </c>
      <c r="B7" t="inlineStr">
        <is>
          <t>WillScot Holdings</t>
        </is>
      </c>
      <c r="C7" t="inlineStr">
        <is>
          <t>secondary</t>
        </is>
      </c>
      <c r="D7" s="29" t="n">
        <v>12.5</v>
      </c>
      <c r="E7" s="29" t="n">
        <v>3.1</v>
      </c>
      <c r="G7" s="10" t="n">
        <v>0.42</v>
      </c>
      <c r="H7" s="17" t="inlineStr">
        <is>
          <t>Modular space LEASING (rental fleet), not project-based custom fabrication. EV/EBITDA 11.7x (5-yr low Dec-2025) to 14.5x LTM; ~3.1x revenue; ~42% EBITDA margin (rental model). SCALE + BUSINESS-MODEL MISMATCH: $2.3B rev, recurring lease revenue, fleet ROIC -- NOT a clean comp for a $10M custom-build job shop. Used only as the directional ceiling for 'modular' and to show why ARTW's project model de</t>
        </is>
      </c>
    </row>
    <row r="8">
      <c r="A8" t="inlineStr">
        <is>
          <t>CONSTR</t>
        </is>
      </c>
      <c r="B8" t="inlineStr">
        <is>
          <t>Construction sector median (global)</t>
        </is>
      </c>
      <c r="C8" t="inlineStr">
        <is>
          <t>secondary</t>
        </is>
      </c>
      <c r="D8" s="29" t="n">
        <v>10.3</v>
      </c>
      <c r="G8" s="10" t="n">
        <v>0.07000000000000001</v>
      </c>
      <c r="H8" s="17" t="inlineStr">
        <is>
          <t xml:space="preserve">Sector reference, not a single name. Global construction EV/EBITDA median ~10.3x (2024). Permanent-modular builders carry ~7% weighted EBITDA margin per McKinsey. Establishes that project-based building/construction trades well below WSC's leasing multiple. ARTW modular at ~17% op margin is ABOVE the sector EBITDA-margin norm -- supports a mid-single-digit to high-single-digit EBITDA multiple for </t>
        </is>
      </c>
    </row>
    <row r="9">
      <c r="A9" t="inlineStr">
        <is>
          <t>GVA</t>
        </is>
      </c>
      <c r="B9" t="inlineStr">
        <is>
          <t>Granite Construction</t>
        </is>
      </c>
      <c r="C9" t="inlineStr">
        <is>
          <t>excluded</t>
        </is>
      </c>
      <c r="D9" s="29" t="n">
        <v>9</v>
      </c>
      <c r="E9" s="29" t="n">
        <v>0.9</v>
      </c>
      <c r="G9" s="10" t="n">
        <v>0.095</v>
      </c>
      <c r="H9" s="17" t="inlineStr">
        <is>
          <t>EXCLUDED as a direct comp: heavy civil/infrastructure contractor, different end markets, no lab/biocontainment exposure. Listed only to document the broad-contractor multiple band (~0.9x rev, ~9x EBITDA) considered and rejected.</t>
        </is>
      </c>
    </row>
    <row r="11">
      <c r="A11" s="17" t="inlineStr">
        <is>
          <t>Key: FONR (~7-9x EBITDA, 0.94x rev, 31.5% premium, ~$98.6M) is the closest structural analog (CEO-led take-private of a profitable family-controlled health-adjacent micro-cap) — it anchors BOTH the base multiple AND the acquisition premium. WSC (11.7-14.5x) is a LEASING model (recurring rental ROIC) — used only as the unreachable ceiling for 'modular.' Construction median ~10.3x; permanent-modular ~7% EBITDA margin (McKinsey). ARTW modular ~17% op margin is ABOVE the sector norm -&gt; supports mid-to-high-single-digit EBITDA multiple. US modular construction ~$20.3B (2024), ~4.5-6.2% CAGR.</t>
        </is>
      </c>
    </row>
    <row r="12"/>
    <row r="13"/>
  </sheetData>
  <mergeCells count="1">
    <mergeCell ref="A11:H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78" customWidth="1" min="4" max="4"/>
  </cols>
  <sheetData>
    <row r="1">
      <c r="A1" s="48" t="inlineStr">
        <is>
          <t>Assumptions &amp; judgment log — v3 control basis</t>
        </is>
      </c>
    </row>
    <row r="2">
      <c r="A2" s="60" t="inlineStr">
        <is>
          <t>How each non-cited input was built. CITED = from filings; ESTIMATED/JUDGMENT = reasoned. Full derivation in model.md §v3a, wacc_research.md, filing_review.md, peer_notes.md.</t>
        </is>
      </c>
    </row>
    <row r="4">
      <c r="A4" s="56" t="inlineStr">
        <is>
          <t>Input</t>
        </is>
      </c>
      <c r="B4" s="57" t="inlineStr">
        <is>
          <t>v3 base</t>
        </is>
      </c>
      <c r="C4" s="56" t="inlineStr">
        <is>
          <t>Tier</t>
        </is>
      </c>
      <c r="D4" s="56" t="inlineStr">
        <is>
          <t>How constructed / logic</t>
        </is>
      </c>
    </row>
    <row r="5" ht="26" customHeight="1">
      <c r="A5" s="50" t="inlineStr">
        <is>
          <t>WACC</t>
        </is>
      </c>
      <c r="B5" s="65" t="inlineStr">
        <is>
          <t>12.5%</t>
        </is>
      </c>
      <c r="C5" s="50" t="inlineStr">
        <is>
          <t>Built (CAPM + premia)</t>
        </is>
      </c>
      <c r="D5" s="4" t="inlineStr">
        <is>
          <t>rf 4.3% + β1.4×ERP 5.0% + ~3% size/illiquidity. Control buyer drops the marketable-minority illiquidity slice (v2 13.5%→12.5%). Bear 14.0% / bull 11.5%.</t>
        </is>
      </c>
    </row>
    <row r="6" ht="26" customHeight="1">
      <c r="A6" s="50" t="inlineStr">
        <is>
          <t>Modular EV/EBITDA multiple</t>
        </is>
      </c>
      <c r="B6" s="65" t="inlineStr">
        <is>
          <t>8×</t>
        </is>
      </c>
      <c r="C6" s="50" t="inlineStr">
        <is>
          <t>Judgment (comps)</t>
        </is>
      </c>
      <c r="D6" s="4" t="inlineStr">
        <is>
          <t>Limbach project-era ~9.5×, construction median ~10×; project economics (no recurring/leasing) cap below that. Range 6–9×. Bear 5× / bull 10×.</t>
        </is>
      </c>
    </row>
    <row r="7" ht="26" customHeight="1">
      <c r="A7" s="50" t="inlineStr">
        <is>
          <t>Standalone modular EBITDA</t>
        </is>
      </c>
      <c r="B7" s="65" t="inlineStr">
        <is>
          <t>$1.70M</t>
        </is>
      </c>
      <c r="C7" s="50" t="inlineStr">
        <is>
          <t>Built</t>
        </is>
      </c>
      <c r="D7" s="4" t="inlineStr">
        <is>
          <t>Segment EBITDA $2.0M − $0.30M standalone corp add-back (take-private removes public-co cost; v2 $0.45M→$0.30M). → DCF margin ~16.6%.</t>
        </is>
      </c>
    </row>
    <row r="8" ht="26" customHeight="1">
      <c r="A8" s="50" t="inlineStr">
        <is>
          <t>Near-term cash tax</t>
        </is>
      </c>
      <c r="B8" s="65" t="inlineStr">
        <is>
          <t>~0% yrs 1–3</t>
        </is>
      </c>
      <c r="C8" s="50" t="inlineStr">
        <is>
          <t>CITED + judgment</t>
        </is>
      </c>
      <c r="D8" s="4" t="inlineStr">
        <is>
          <t>~$7.1M gross federal NOL, no valuation allowance (filing_review.md); §382 caps usage post-control, so only a modest 3-yr holiday claimed, then 15%. Bear claims none.</t>
        </is>
      </c>
    </row>
    <row r="9" ht="26" customHeight="1">
      <c r="A9" s="50" t="inlineStr">
        <is>
          <t>Ag inventory recovery</t>
        </is>
      </c>
      <c r="B9" s="65" t="inlineStr">
        <is>
          <t>60%</t>
        </is>
      </c>
      <c r="C9" s="50" t="inlineStr">
        <is>
          <t>ESTIMATED</t>
        </is>
      </c>
      <c r="D9" s="4" t="inlineStr">
        <is>
          <t>Aged whole-goods into a slow market; beet-equipment hit by Dec-2025 ACS payment cut. 55–65% realistic. Bear 50% / bull 75%.</t>
        </is>
      </c>
    </row>
    <row r="10" ht="26" customHeight="1">
      <c r="A10" s="50" t="inlineStr">
        <is>
          <t>Ag AR recovery</t>
        </is>
      </c>
      <c r="B10" s="65" t="inlineStr">
        <is>
          <t>95%</t>
        </is>
      </c>
      <c r="C10" s="50" t="inlineStr">
        <is>
          <t>ESTIMATED</t>
        </is>
      </c>
      <c r="D10" s="4" t="inlineStr">
        <is>
          <t>Trade AR collects near par in an orderly wind-down. Bear 85% / bull 100%.</t>
        </is>
      </c>
    </row>
    <row r="11" ht="26" customHeight="1">
      <c r="A11" s="50" t="inlineStr">
        <is>
          <t>Ag PP&amp;E recovery</t>
        </is>
      </c>
      <c r="B11" s="65" t="inlineStr">
        <is>
          <t>40%</t>
        </is>
      </c>
      <c r="C11" s="50" t="inlineStr">
        <is>
          <t>ESTIMATED</t>
        </is>
      </c>
      <c r="D11" s="4" t="inlineStr">
        <is>
          <t>Single-purpose rural-Iowa plant; 2024 Tools real-estate sale a loose datapoint. Bear 30% / bull 55%.</t>
        </is>
      </c>
    </row>
    <row r="12" ht="26" customHeight="1">
      <c r="A12" s="50" t="inlineStr">
        <is>
          <t>Ag wind-down cost</t>
        </is>
      </c>
      <c r="B12" s="65" t="inlineStr">
        <is>
          <t>$1.3M</t>
        </is>
      </c>
      <c r="C12" s="50" t="inlineStr">
        <is>
          <t>ESTIMATED</t>
        </is>
      </c>
      <c r="D12" s="4" t="inlineStr">
        <is>
          <t>Severance, lease breakage, warranty/dealer tail, transaction. Bear $2.0M / bull $0.8M.</t>
        </is>
      </c>
    </row>
    <row r="13" ht="26" customHeight="1">
      <c r="A13" s="50" t="inlineStr">
        <is>
          <t>D&amp;A &amp; capex (% rev)</t>
        </is>
      </c>
      <c r="B13" s="65" t="inlineStr">
        <is>
          <t>2.5% each</t>
        </is>
      </c>
      <c r="C13" s="50" t="inlineStr">
        <is>
          <t>Judgment</t>
        </is>
      </c>
      <c r="D13" s="4" t="inlineStr">
        <is>
          <t>Asset-light modular ($3.3M assets, $0.2M capex on $10.2M rev).</t>
        </is>
      </c>
    </row>
    <row r="14" ht="26" customHeight="1">
      <c r="A14" s="50" t="inlineStr">
        <is>
          <t>ΔWC (% incremental rev)</t>
        </is>
      </c>
      <c r="B14" s="65" t="inlineStr">
        <is>
          <t>10%</t>
        </is>
      </c>
      <c r="C14" s="50" t="inlineStr">
        <is>
          <t>Judgment</t>
        </is>
      </c>
      <c r="D14" s="4" t="inlineStr">
        <is>
          <t>Project-timing-driven; nets ~zero over a cycle, not a permanent build.</t>
        </is>
      </c>
    </row>
    <row r="15" ht="26" customHeight="1">
      <c r="A15" s="50" t="inlineStr">
        <is>
          <t>Terminal growth</t>
        </is>
      </c>
      <c r="B15" s="65" t="inlineStr">
        <is>
          <t>2.5%</t>
        </is>
      </c>
      <c r="C15" s="50" t="inlineStr">
        <is>
          <t>Judgment</t>
        </is>
      </c>
      <c r="D15" s="4" t="inlineStr">
        <is>
          <t>GDP-ish. Bear 1.0% / bull 3.0%.</t>
        </is>
      </c>
    </row>
    <row r="16" ht="26" customHeight="1">
      <c r="A16" s="50" t="inlineStr">
        <is>
          <t>Scenario probabilities</t>
        </is>
      </c>
      <c r="B16" s="65" t="inlineStr">
        <is>
          <t>30/45/25</t>
        </is>
      </c>
      <c r="C16" s="50" t="inlineStr">
        <is>
          <t>Judgment</t>
        </is>
      </c>
      <c r="D16" s="4" t="inlineStr">
        <is>
          <t>Bear-weighted for the data-floor-limited, leg-split-dependent setup.</t>
        </is>
      </c>
    </row>
    <row r="17" ht="26" customHeight="1">
      <c r="A17" s="50" t="inlineStr">
        <is>
          <t>Two-leg split (research/ag-bio)</t>
        </is>
      </c>
      <c r="B17" s="65" t="inlineStr">
        <is>
          <t>60/40</t>
        </is>
      </c>
      <c r="C17" s="50" t="inlineStr">
        <is>
          <t>ESTIMATED — DATA FLOOR</t>
        </is>
      </c>
      <c r="D17" s="4" t="inlineStr">
        <is>
          <t>From the single '+$1.355M ag-building' breadcrumb. THE key undisclosed assumption (see TwoLeg tab).</t>
        </is>
      </c>
    </row>
    <row r="18" ht="26" customHeight="1">
      <c r="A18" s="50" t="inlineStr">
        <is>
          <t>Net debt</t>
        </is>
      </c>
      <c r="B18" s="65" t="inlineStr">
        <is>
          <t>$6.40M</t>
        </is>
      </c>
      <c r="C18" s="50" t="inlineStr">
        <is>
          <t>CITED</t>
        </is>
      </c>
      <c r="D18" s="4" t="inlineStr">
        <is>
          <t>Total debt $6.41M (revolver + term + finance leases incl SBA EIDL) − cash $0.005M.</t>
        </is>
      </c>
    </row>
    <row r="19" ht="26" customHeight="1">
      <c r="A19" s="50" t="inlineStr">
        <is>
          <t>LBO entry premium</t>
        </is>
      </c>
      <c r="B19" s="65" t="inlineStr">
        <is>
          <t>~10%</t>
        </is>
      </c>
      <c r="C19" s="50" t="inlineStr">
        <is>
          <t>CITED precedent</t>
        </is>
      </c>
      <c r="D19" s="4" t="inlineStr">
        <is>
          <t>Friendly control freeze-out comps (not the v2 31.5% FONR template, which is superseded). Detail in LBO_Returns.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40" t="inlineStr">
        <is>
          <t>Search-Fund LBO Returns - formula-driven (yellow = inputs)</t>
        </is>
      </c>
    </row>
    <row r="3">
      <c r="A3" s="42" t="inlineStr">
        <is>
          <t>ASSUMPTIONS</t>
        </is>
      </c>
    </row>
    <row r="4">
      <c r="A4" t="inlineStr">
        <is>
          <t>Current price ($/sh)</t>
        </is>
      </c>
      <c r="B4" s="43" t="n">
        <v>2.58</v>
      </c>
    </row>
    <row r="5">
      <c r="A5" t="inlineStr">
        <is>
          <t>Entry premium</t>
        </is>
      </c>
      <c r="B5" s="44" t="n">
        <v>0.1</v>
      </c>
    </row>
    <row r="6">
      <c r="A6" t="inlineStr">
        <is>
          <t>Entry price ($/sh)</t>
        </is>
      </c>
      <c r="B6">
        <f>B4*(1+B5)</f>
        <v/>
      </c>
    </row>
    <row r="7">
      <c r="A7" t="inlineStr">
        <is>
          <t>Shares (M)</t>
        </is>
      </c>
      <c r="B7" t="n">
        <v>5.184</v>
      </c>
    </row>
    <row r="8">
      <c r="A8" t="inlineStr">
        <is>
          <t>Equity purchase ($M)</t>
        </is>
      </c>
      <c r="B8">
        <f>B6*B7</f>
        <v/>
      </c>
    </row>
    <row r="9">
      <c r="A9" t="inlineStr">
        <is>
          <t>Refinance existing net debt ($M)</t>
        </is>
      </c>
      <c r="B9" t="n">
        <v>6.4</v>
      </c>
    </row>
    <row r="10">
      <c r="A10" t="inlineStr">
        <is>
          <t>Transaction fees ($M)</t>
        </is>
      </c>
      <c r="B10">
        <f>0.03*B8</f>
        <v/>
      </c>
    </row>
    <row r="11">
      <c r="A11" s="42" t="inlineStr">
        <is>
          <t>TOTAL USES ($M)</t>
        </is>
      </c>
      <c r="B11" s="42">
        <f>B8+B9+B10</f>
        <v/>
      </c>
    </row>
    <row r="13">
      <c r="A13" t="inlineStr">
        <is>
          <t>Acquisition debt - ABL+SBA+seller ($M)</t>
        </is>
      </c>
      <c r="B13" s="43" t="n">
        <v>10</v>
      </c>
    </row>
    <row r="14">
      <c r="A14" s="42" t="inlineStr">
        <is>
          <t>Sponsor equity ($M)</t>
        </is>
      </c>
      <c r="B14">
        <f>B11-B13</f>
        <v/>
      </c>
    </row>
    <row r="15">
      <c r="A15" t="inlineStr">
        <is>
          <t>Blended debt rate</t>
        </is>
      </c>
      <c r="B15" s="45" t="n">
        <v>0.0625</v>
      </c>
    </row>
    <row r="18">
      <c r="A18" s="42" t="inlineStr">
        <is>
          <t>BASE CASE - operating &amp; debt schedule  (margin 16.6%, exit 7x, ag $7.7M)</t>
        </is>
      </c>
    </row>
    <row r="19">
      <c r="A19" t="inlineStr">
        <is>
          <t>Year</t>
        </is>
      </c>
      <c r="C19" s="42" t="inlineStr">
        <is>
          <t>Entry(0)</t>
        </is>
      </c>
      <c r="D19" s="42" t="n">
        <v>1</v>
      </c>
      <c r="E19" s="42" t="n">
        <v>2</v>
      </c>
      <c r="F19" s="42" t="n">
        <v>3</v>
      </c>
      <c r="G19" s="42" t="n">
        <v>4</v>
      </c>
      <c r="H19" s="42" t="n">
        <v>5</v>
      </c>
    </row>
    <row r="20">
      <c r="A20" t="inlineStr">
        <is>
          <t>Revenue growth</t>
        </is>
      </c>
      <c r="D20" s="44" t="n">
        <v>0.08</v>
      </c>
      <c r="E20" s="44" t="n">
        <v>0.06</v>
      </c>
      <c r="F20" s="44" t="n">
        <v>0.05</v>
      </c>
      <c r="G20" s="44" t="n">
        <v>0.04</v>
      </c>
      <c r="H20" s="44" t="n">
        <v>0.04</v>
      </c>
    </row>
    <row r="21">
      <c r="A21" t="inlineStr">
        <is>
          <t>Revenue ($M)</t>
        </is>
      </c>
      <c r="C21" t="n">
        <v>10.226</v>
      </c>
      <c r="D21">
        <f>C21*(1+D20)</f>
        <v/>
      </c>
      <c r="E21">
        <f>D21*(1+E20)</f>
        <v/>
      </c>
      <c r="F21">
        <f>E21*(1+F20)</f>
        <v/>
      </c>
      <c r="G21">
        <f>F21*(1+G20)</f>
        <v/>
      </c>
      <c r="H21">
        <f>G21*(1+H20)</f>
        <v/>
      </c>
    </row>
    <row r="22">
      <c r="A22" t="inlineStr">
        <is>
          <t>EBITDA ($M)</t>
        </is>
      </c>
      <c r="D22">
        <f>D21*0.166</f>
        <v/>
      </c>
      <c r="E22">
        <f>E21*0.166</f>
        <v/>
      </c>
      <c r="F22">
        <f>F21*0.166</f>
        <v/>
      </c>
      <c r="G22">
        <f>G21*0.166</f>
        <v/>
      </c>
      <c r="H22">
        <f>H21*0.166</f>
        <v/>
      </c>
    </row>
    <row r="23">
      <c r="A23" t="inlineStr">
        <is>
          <t>EBIT ($M)</t>
        </is>
      </c>
      <c r="D23">
        <f>D22-0.025*D21</f>
        <v/>
      </c>
      <c r="E23">
        <f>E22-0.025*E21</f>
        <v/>
      </c>
      <c r="F23">
        <f>F22-0.025*F21</f>
        <v/>
      </c>
      <c r="G23">
        <f>G22-0.025*G21</f>
        <v/>
      </c>
      <c r="H23">
        <f>H22-0.025*H21</f>
        <v/>
      </c>
    </row>
    <row r="24">
      <c r="A24" t="inlineStr">
        <is>
          <t>Cash tax ($M)</t>
        </is>
      </c>
      <c r="D24" t="n">
        <v>0</v>
      </c>
      <c r="E24" t="n">
        <v>0</v>
      </c>
      <c r="F24" t="n">
        <v>0</v>
      </c>
      <c r="G24">
        <f>0.21*G23</f>
        <v/>
      </c>
      <c r="H24">
        <f>0.21*H23</f>
        <v/>
      </c>
    </row>
    <row r="25">
      <c r="A25" t="inlineStr">
        <is>
          <t>Capex ($M)</t>
        </is>
      </c>
      <c r="D25">
        <f>0.025*D21</f>
        <v/>
      </c>
      <c r="E25">
        <f>0.025*E21</f>
        <v/>
      </c>
      <c r="F25">
        <f>0.025*F21</f>
        <v/>
      </c>
      <c r="G25">
        <f>0.025*G21</f>
        <v/>
      </c>
      <c r="H25">
        <f>0.025*H21</f>
        <v/>
      </c>
    </row>
    <row r="26">
      <c r="A26" t="inlineStr">
        <is>
          <t>Chg Working capital ($M)</t>
        </is>
      </c>
      <c r="D26">
        <f>0.10*(D21-C21)</f>
        <v/>
      </c>
      <c r="E26">
        <f>0.10*(E21-D21)</f>
        <v/>
      </c>
      <c r="F26">
        <f>0.10*(F21-E21)</f>
        <v/>
      </c>
      <c r="G26">
        <f>0.10*(G21-F21)</f>
        <v/>
      </c>
      <c r="H26">
        <f>0.10*(H21-G21)</f>
        <v/>
      </c>
    </row>
    <row r="27">
      <c r="A27" t="inlineStr">
        <is>
          <t>Unlevered FCF ($M)</t>
        </is>
      </c>
      <c r="D27">
        <f>D22-D24-D25-D26</f>
        <v/>
      </c>
      <c r="E27">
        <f>E22-E24-E25-E26</f>
        <v/>
      </c>
      <c r="F27">
        <f>F22-F24-F25-F26</f>
        <v/>
      </c>
      <c r="G27">
        <f>G22-G24-G25-G26</f>
        <v/>
      </c>
      <c r="H27">
        <f>H22-H24-H25-H26</f>
        <v/>
      </c>
    </row>
    <row r="28">
      <c r="A28" t="inlineStr">
        <is>
          <t>Debt - beginning ($M)</t>
        </is>
      </c>
      <c r="D28">
        <f>$B$13</f>
        <v/>
      </c>
      <c r="E28">
        <f>D33</f>
        <v/>
      </c>
      <c r="F28">
        <f>E33</f>
        <v/>
      </c>
      <c r="G28">
        <f>F33</f>
        <v/>
      </c>
      <c r="H28">
        <f>G33</f>
        <v/>
      </c>
    </row>
    <row r="29">
      <c r="A29" t="inlineStr">
        <is>
          <t>Interest ($M)</t>
        </is>
      </c>
      <c r="D29">
        <f>D28*$B$15</f>
        <v/>
      </c>
      <c r="E29">
        <f>E28*$B$15</f>
        <v/>
      </c>
      <c r="F29">
        <f>F28*$B$15</f>
        <v/>
      </c>
      <c r="G29">
        <f>G28*$B$15</f>
        <v/>
      </c>
      <c r="H29">
        <f>H28*$B$15</f>
        <v/>
      </c>
    </row>
    <row r="30">
      <c r="A30" t="inlineStr">
        <is>
          <t>Ag disposal proceeds ($M)</t>
        </is>
      </c>
      <c r="D30" t="n">
        <v>7.7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Cash available ($M)</t>
        </is>
      </c>
      <c r="D31">
        <f>D27-D29+D30</f>
        <v/>
      </c>
      <c r="E31">
        <f>E27-E29+E30</f>
        <v/>
      </c>
      <c r="F31">
        <f>F27-F29+F30</f>
        <v/>
      </c>
      <c r="G31">
        <f>G27-G29+G30</f>
        <v/>
      </c>
      <c r="H31">
        <f>H27-H29+H30</f>
        <v/>
      </c>
    </row>
    <row r="32">
      <c r="A32" t="inlineStr">
        <is>
          <t>Debt paydown ($M)</t>
        </is>
      </c>
      <c r="D32">
        <f>MIN(D28,MAX(D31,0))</f>
        <v/>
      </c>
      <c r="E32">
        <f>MIN(E28,MAX(E31,0))</f>
        <v/>
      </c>
      <c r="F32">
        <f>MIN(F28,MAX(F31,0))</f>
        <v/>
      </c>
      <c r="G32">
        <f>MIN(G28,MAX(G31,0))</f>
        <v/>
      </c>
      <c r="H32">
        <f>MIN(H28,MAX(H31,0))</f>
        <v/>
      </c>
    </row>
    <row r="33">
      <c r="A33" t="inlineStr">
        <is>
          <t>Debt - ending ($M)</t>
        </is>
      </c>
      <c r="D33">
        <f>D28-D32</f>
        <v/>
      </c>
      <c r="E33">
        <f>E28-E32</f>
        <v/>
      </c>
      <c r="F33">
        <f>F28-F32</f>
        <v/>
      </c>
      <c r="G33">
        <f>G28-G32</f>
        <v/>
      </c>
      <c r="H33">
        <f>H28-H32</f>
        <v/>
      </c>
    </row>
    <row r="34">
      <c r="A34" t="inlineStr">
        <is>
          <t>Cash - beginning ($M)</t>
        </is>
      </c>
      <c r="D34" t="n">
        <v>0</v>
      </c>
      <c r="E34">
        <f>D35</f>
        <v/>
      </c>
      <c r="F34">
        <f>E35</f>
        <v/>
      </c>
      <c r="G34">
        <f>F35</f>
        <v/>
      </c>
      <c r="H34">
        <f>G35</f>
        <v/>
      </c>
    </row>
    <row r="35">
      <c r="A35" t="inlineStr">
        <is>
          <t>Cash - ending ($M)</t>
        </is>
      </c>
      <c r="D35">
        <f>D34+(D31-D32)</f>
        <v/>
      </c>
      <c r="E35">
        <f>E34+(E31-E32)</f>
        <v/>
      </c>
      <c r="F35">
        <f>F34+(F31-F32)</f>
        <v/>
      </c>
      <c r="G35">
        <f>G34+(G31-G32)</f>
        <v/>
      </c>
      <c r="H35">
        <f>H34+(H31-H32)</f>
        <v/>
      </c>
    </row>
    <row r="38">
      <c r="A38" s="42" t="inlineStr">
        <is>
          <t>Exit EV ($M) = Yr5 EBITDA x multiple</t>
        </is>
      </c>
      <c r="B38">
        <f>H22*8.0</f>
        <v/>
      </c>
    </row>
    <row r="39">
      <c r="A39" t="inlineStr">
        <is>
          <t xml:space="preserve">  less ending debt / plus ending cash</t>
        </is>
      </c>
    </row>
    <row r="40">
      <c r="A40" s="42" t="inlineStr">
        <is>
          <t>Exit equity ($M)</t>
        </is>
      </c>
      <c r="B40">
        <f>B38-H33+H35</f>
        <v/>
      </c>
    </row>
    <row r="41">
      <c r="A41" s="42" t="inlineStr">
        <is>
          <t>MOIC</t>
        </is>
      </c>
      <c r="B41" s="9">
        <f>B40/$B$14</f>
        <v/>
      </c>
    </row>
    <row r="42">
      <c r="A42" s="42" t="inlineStr">
        <is>
          <t>IRR (5-yr)</t>
        </is>
      </c>
      <c r="B42" s="15">
        <f>IF(B40&gt;0,(B40/$B$14)^(1/5)-1,"neg")</f>
        <v/>
      </c>
    </row>
    <row r="45">
      <c r="A45" s="42" t="inlineStr">
        <is>
          <t>BULL CASE - operating &amp; debt schedule  (margin 19.0%, exit 10x, ag $10.4M)</t>
        </is>
      </c>
    </row>
    <row r="46">
      <c r="A46" t="inlineStr">
        <is>
          <t>Year</t>
        </is>
      </c>
      <c r="C46" s="42" t="inlineStr">
        <is>
          <t>Entry(0)</t>
        </is>
      </c>
      <c r="D46" s="42" t="n">
        <v>1</v>
      </c>
      <c r="E46" s="42" t="n">
        <v>2</v>
      </c>
      <c r="F46" s="42" t="n">
        <v>3</v>
      </c>
      <c r="G46" s="42" t="n">
        <v>4</v>
      </c>
      <c r="H46" s="42" t="n">
        <v>5</v>
      </c>
    </row>
    <row r="47">
      <c r="A47" t="inlineStr">
        <is>
          <t>Revenue growth</t>
        </is>
      </c>
      <c r="D47" s="44" t="n">
        <v>0.18</v>
      </c>
      <c r="E47" s="44" t="n">
        <v>0.14</v>
      </c>
      <c r="F47" s="44" t="n">
        <v>0.1</v>
      </c>
      <c r="G47" s="44" t="n">
        <v>0.08</v>
      </c>
      <c r="H47" s="44" t="n">
        <v>0.06</v>
      </c>
    </row>
    <row r="48">
      <c r="A48" t="inlineStr">
        <is>
          <t>Revenue ($M)</t>
        </is>
      </c>
      <c r="C48" t="n">
        <v>10.226</v>
      </c>
      <c r="D48">
        <f>C48*(1+D47)</f>
        <v/>
      </c>
      <c r="E48">
        <f>D48*(1+E47)</f>
        <v/>
      </c>
      <c r="F48">
        <f>E48*(1+F47)</f>
        <v/>
      </c>
      <c r="G48">
        <f>F48*(1+G47)</f>
        <v/>
      </c>
      <c r="H48">
        <f>G48*(1+H47)</f>
        <v/>
      </c>
    </row>
    <row r="49">
      <c r="A49" t="inlineStr">
        <is>
          <t>EBITDA ($M)</t>
        </is>
      </c>
      <c r="D49">
        <f>D48*0.19</f>
        <v/>
      </c>
      <c r="E49">
        <f>E48*0.19</f>
        <v/>
      </c>
      <c r="F49">
        <f>F48*0.19</f>
        <v/>
      </c>
      <c r="G49">
        <f>G48*0.19</f>
        <v/>
      </c>
      <c r="H49">
        <f>H48*0.19</f>
        <v/>
      </c>
    </row>
    <row r="50">
      <c r="A50" t="inlineStr">
        <is>
          <t>EBIT ($M)</t>
        </is>
      </c>
      <c r="D50">
        <f>D49-0.025*D48</f>
        <v/>
      </c>
      <c r="E50">
        <f>E49-0.025*E48</f>
        <v/>
      </c>
      <c r="F50">
        <f>F49-0.025*F48</f>
        <v/>
      </c>
      <c r="G50">
        <f>G49-0.025*G48</f>
        <v/>
      </c>
      <c r="H50">
        <f>H49-0.025*H48</f>
        <v/>
      </c>
    </row>
    <row r="51">
      <c r="A51" t="inlineStr">
        <is>
          <t>Cash tax ($M)</t>
        </is>
      </c>
      <c r="D51" t="n">
        <v>0</v>
      </c>
      <c r="E51" t="n">
        <v>0</v>
      </c>
      <c r="F51" t="n">
        <v>0</v>
      </c>
      <c r="G51">
        <f>0.21*G50</f>
        <v/>
      </c>
      <c r="H51">
        <f>0.21*H50</f>
        <v/>
      </c>
    </row>
    <row r="52">
      <c r="A52" t="inlineStr">
        <is>
          <t>Capex ($M)</t>
        </is>
      </c>
      <c r="D52">
        <f>0.025*D48</f>
        <v/>
      </c>
      <c r="E52">
        <f>0.025*E48</f>
        <v/>
      </c>
      <c r="F52">
        <f>0.025*F48</f>
        <v/>
      </c>
      <c r="G52">
        <f>0.025*G48</f>
        <v/>
      </c>
      <c r="H52">
        <f>0.025*H48</f>
        <v/>
      </c>
    </row>
    <row r="53">
      <c r="A53" t="inlineStr">
        <is>
          <t>Chg Working capital ($M)</t>
        </is>
      </c>
      <c r="D53">
        <f>0.10*(D48-C48)</f>
        <v/>
      </c>
      <c r="E53">
        <f>0.10*(E48-D48)</f>
        <v/>
      </c>
      <c r="F53">
        <f>0.10*(F48-E48)</f>
        <v/>
      </c>
      <c r="G53">
        <f>0.10*(G48-F48)</f>
        <v/>
      </c>
      <c r="H53">
        <f>0.10*(H48-G48)</f>
        <v/>
      </c>
    </row>
    <row r="54">
      <c r="A54" t="inlineStr">
        <is>
          <t>Unlevered FCF ($M)</t>
        </is>
      </c>
      <c r="D54">
        <f>D49-D51-D52-D53</f>
        <v/>
      </c>
      <c r="E54">
        <f>E49-E51-E52-E53</f>
        <v/>
      </c>
      <c r="F54">
        <f>F49-F51-F52-F53</f>
        <v/>
      </c>
      <c r="G54">
        <f>G49-G51-G52-G53</f>
        <v/>
      </c>
      <c r="H54">
        <f>H49-H51-H52-H53</f>
        <v/>
      </c>
    </row>
    <row r="55">
      <c r="A55" t="inlineStr">
        <is>
          <t>Debt - beginning ($M)</t>
        </is>
      </c>
      <c r="D55">
        <f>$B$13</f>
        <v/>
      </c>
      <c r="E55">
        <f>D60</f>
        <v/>
      </c>
      <c r="F55">
        <f>E60</f>
        <v/>
      </c>
      <c r="G55">
        <f>F60</f>
        <v/>
      </c>
      <c r="H55">
        <f>G60</f>
        <v/>
      </c>
    </row>
    <row r="56">
      <c r="A56" t="inlineStr">
        <is>
          <t>Interest ($M)</t>
        </is>
      </c>
      <c r="D56">
        <f>D55*$B$15</f>
        <v/>
      </c>
      <c r="E56">
        <f>E55*$B$15</f>
        <v/>
      </c>
      <c r="F56">
        <f>F55*$B$15</f>
        <v/>
      </c>
      <c r="G56">
        <f>G55*$B$15</f>
        <v/>
      </c>
      <c r="H56">
        <f>H55*$B$15</f>
        <v/>
      </c>
    </row>
    <row r="57">
      <c r="A57" t="inlineStr">
        <is>
          <t>Ag disposal proceeds ($M)</t>
        </is>
      </c>
      <c r="D57" t="n">
        <v>10.4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Cash available ($M)</t>
        </is>
      </c>
      <c r="D58">
        <f>D54-D56+D57</f>
        <v/>
      </c>
      <c r="E58">
        <f>E54-E56+E57</f>
        <v/>
      </c>
      <c r="F58">
        <f>F54-F56+F57</f>
        <v/>
      </c>
      <c r="G58">
        <f>G54-G56+G57</f>
        <v/>
      </c>
      <c r="H58">
        <f>H54-H56+H57</f>
        <v/>
      </c>
    </row>
    <row r="59">
      <c r="A59" t="inlineStr">
        <is>
          <t>Debt paydown ($M)</t>
        </is>
      </c>
      <c r="D59">
        <f>MIN(D55,MAX(D58,0))</f>
        <v/>
      </c>
      <c r="E59">
        <f>MIN(E55,MAX(E58,0))</f>
        <v/>
      </c>
      <c r="F59">
        <f>MIN(F55,MAX(F58,0))</f>
        <v/>
      </c>
      <c r="G59">
        <f>MIN(G55,MAX(G58,0))</f>
        <v/>
      </c>
      <c r="H59">
        <f>MIN(H55,MAX(H58,0))</f>
        <v/>
      </c>
    </row>
    <row r="60">
      <c r="A60" t="inlineStr">
        <is>
          <t>Debt - ending ($M)</t>
        </is>
      </c>
      <c r="D60">
        <f>D55-D59</f>
        <v/>
      </c>
      <c r="E60">
        <f>E55-E59</f>
        <v/>
      </c>
      <c r="F60">
        <f>F55-F59</f>
        <v/>
      </c>
      <c r="G60">
        <f>G55-G59</f>
        <v/>
      </c>
      <c r="H60">
        <f>H55-H59</f>
        <v/>
      </c>
    </row>
    <row r="61">
      <c r="A61" t="inlineStr">
        <is>
          <t>Cash - beginning ($M)</t>
        </is>
      </c>
      <c r="D61" t="n">
        <v>0</v>
      </c>
      <c r="E61">
        <f>D62</f>
        <v/>
      </c>
      <c r="F61">
        <f>E62</f>
        <v/>
      </c>
      <c r="G61">
        <f>F62</f>
        <v/>
      </c>
      <c r="H61">
        <f>G62</f>
        <v/>
      </c>
    </row>
    <row r="62">
      <c r="A62" t="inlineStr">
        <is>
          <t>Cash - ending ($M)</t>
        </is>
      </c>
      <c r="D62">
        <f>D61+(D58-D59)</f>
        <v/>
      </c>
      <c r="E62">
        <f>E61+(E58-E59)</f>
        <v/>
      </c>
      <c r="F62">
        <f>F61+(F58-F59)</f>
        <v/>
      </c>
      <c r="G62">
        <f>G61+(G58-G59)</f>
        <v/>
      </c>
      <c r="H62">
        <f>H61+(H58-H59)</f>
        <v/>
      </c>
    </row>
    <row r="65">
      <c r="A65" s="42" t="inlineStr">
        <is>
          <t>Exit EV ($M) = Yr5 EBITDA x multiple</t>
        </is>
      </c>
      <c r="B65">
        <f>H49*10.0</f>
        <v/>
      </c>
    </row>
    <row r="66">
      <c r="A66" t="inlineStr">
        <is>
          <t xml:space="preserve">  less ending debt / plus ending cash</t>
        </is>
      </c>
    </row>
    <row r="67">
      <c r="A67" s="42" t="inlineStr">
        <is>
          <t>Exit equity ($M)</t>
        </is>
      </c>
      <c r="B67">
        <f>B65-H60+H62</f>
        <v/>
      </c>
    </row>
    <row r="68">
      <c r="A68" s="42" t="inlineStr">
        <is>
          <t>MOIC</t>
        </is>
      </c>
      <c r="B68" s="9">
        <f>B67/$B$14</f>
        <v/>
      </c>
    </row>
    <row r="69">
      <c r="A69" s="42" t="inlineStr">
        <is>
          <t>IRR (5-yr)</t>
        </is>
      </c>
      <c r="B69" s="15">
        <f>IF(B67&gt;0,(B67/$B$14)^(1/5)-1,"neg")</f>
        <v/>
      </c>
    </row>
    <row r="72">
      <c r="A72" s="42" t="inlineStr">
        <is>
          <t>BEAR CASE - operating &amp; debt schedule  (margin 13.0%, exit 5x, ag $5.5M)</t>
        </is>
      </c>
    </row>
    <row r="73">
      <c r="A73" t="inlineStr">
        <is>
          <t>Year</t>
        </is>
      </c>
      <c r="C73" s="42" t="inlineStr">
        <is>
          <t>Entry(0)</t>
        </is>
      </c>
      <c r="D73" s="42" t="n">
        <v>1</v>
      </c>
      <c r="E73" s="42" t="n">
        <v>2</v>
      </c>
      <c r="F73" s="42" t="n">
        <v>3</v>
      </c>
      <c r="G73" s="42" t="n">
        <v>4</v>
      </c>
      <c r="H73" s="42" t="n">
        <v>5</v>
      </c>
    </row>
    <row r="74">
      <c r="A74" t="inlineStr">
        <is>
          <t>Revenue growth</t>
        </is>
      </c>
      <c r="D74" s="44" t="n">
        <v>-0.1</v>
      </c>
      <c r="E74" s="44" t="n">
        <v>-0.05</v>
      </c>
      <c r="F74" s="44" t="n">
        <v>0</v>
      </c>
      <c r="G74" s="44" t="n">
        <v>0.02</v>
      </c>
      <c r="H74" s="44" t="n">
        <v>0.03</v>
      </c>
    </row>
    <row r="75">
      <c r="A75" t="inlineStr">
        <is>
          <t>Revenue ($M)</t>
        </is>
      </c>
      <c r="C75" t="n">
        <v>10.226</v>
      </c>
      <c r="D75">
        <f>C75*(1+D74)</f>
        <v/>
      </c>
      <c r="E75">
        <f>D75*(1+E74)</f>
        <v/>
      </c>
      <c r="F75">
        <f>E75*(1+F74)</f>
        <v/>
      </c>
      <c r="G75">
        <f>F75*(1+G74)</f>
        <v/>
      </c>
      <c r="H75">
        <f>G75*(1+H74)</f>
        <v/>
      </c>
    </row>
    <row r="76">
      <c r="A76" t="inlineStr">
        <is>
          <t>EBITDA ($M)</t>
        </is>
      </c>
      <c r="D76">
        <f>D75*0.13</f>
        <v/>
      </c>
      <c r="E76">
        <f>E75*0.13</f>
        <v/>
      </c>
      <c r="F76">
        <f>F75*0.13</f>
        <v/>
      </c>
      <c r="G76">
        <f>G75*0.13</f>
        <v/>
      </c>
      <c r="H76">
        <f>H75*0.13</f>
        <v/>
      </c>
    </row>
    <row r="77">
      <c r="A77" t="inlineStr">
        <is>
          <t>EBIT ($M)</t>
        </is>
      </c>
      <c r="D77">
        <f>D76-0.025*D75</f>
        <v/>
      </c>
      <c r="E77">
        <f>E76-0.025*E75</f>
        <v/>
      </c>
      <c r="F77">
        <f>F76-0.025*F75</f>
        <v/>
      </c>
      <c r="G77">
        <f>G76-0.025*G75</f>
        <v/>
      </c>
      <c r="H77">
        <f>H76-0.025*H75</f>
        <v/>
      </c>
    </row>
    <row r="78">
      <c r="A78" t="inlineStr">
        <is>
          <t>Cash tax ($M)</t>
        </is>
      </c>
      <c r="D78" t="n">
        <v>0</v>
      </c>
      <c r="E78" t="n">
        <v>0</v>
      </c>
      <c r="F78" t="n">
        <v>0</v>
      </c>
      <c r="G78">
        <f>0.21*G77</f>
        <v/>
      </c>
      <c r="H78">
        <f>0.21*H77</f>
        <v/>
      </c>
    </row>
    <row r="79">
      <c r="A79" t="inlineStr">
        <is>
          <t>Capex ($M)</t>
        </is>
      </c>
      <c r="D79">
        <f>0.025*D75</f>
        <v/>
      </c>
      <c r="E79">
        <f>0.025*E75</f>
        <v/>
      </c>
      <c r="F79">
        <f>0.025*F75</f>
        <v/>
      </c>
      <c r="G79">
        <f>0.025*G75</f>
        <v/>
      </c>
      <c r="H79">
        <f>0.025*H75</f>
        <v/>
      </c>
    </row>
    <row r="80">
      <c r="A80" t="inlineStr">
        <is>
          <t>Chg Working capital ($M)</t>
        </is>
      </c>
      <c r="D80">
        <f>0.10*(D75-C75)</f>
        <v/>
      </c>
      <c r="E80">
        <f>0.10*(E75-D75)</f>
        <v/>
      </c>
      <c r="F80">
        <f>0.10*(F75-E75)</f>
        <v/>
      </c>
      <c r="G80">
        <f>0.10*(G75-F75)</f>
        <v/>
      </c>
      <c r="H80">
        <f>0.10*(H75-G75)</f>
        <v/>
      </c>
    </row>
    <row r="81">
      <c r="A81" t="inlineStr">
        <is>
          <t>Unlevered FCF ($M)</t>
        </is>
      </c>
      <c r="D81">
        <f>D76-D78-D79-D80</f>
        <v/>
      </c>
      <c r="E81">
        <f>E76-E78-E79-E80</f>
        <v/>
      </c>
      <c r="F81">
        <f>F76-F78-F79-F80</f>
        <v/>
      </c>
      <c r="G81">
        <f>G76-G78-G79-G80</f>
        <v/>
      </c>
      <c r="H81">
        <f>H76-H78-H79-H80</f>
        <v/>
      </c>
    </row>
    <row r="82">
      <c r="A82" t="inlineStr">
        <is>
          <t>Debt - beginning ($M)</t>
        </is>
      </c>
      <c r="D82">
        <f>$B$13</f>
        <v/>
      </c>
      <c r="E82">
        <f>D87</f>
        <v/>
      </c>
      <c r="F82">
        <f>E87</f>
        <v/>
      </c>
      <c r="G82">
        <f>F87</f>
        <v/>
      </c>
      <c r="H82">
        <f>G87</f>
        <v/>
      </c>
    </row>
    <row r="83">
      <c r="A83" t="inlineStr">
        <is>
          <t>Interest ($M)</t>
        </is>
      </c>
      <c r="D83">
        <f>D82*$B$15</f>
        <v/>
      </c>
      <c r="E83">
        <f>E82*$B$15</f>
        <v/>
      </c>
      <c r="F83">
        <f>F82*$B$15</f>
        <v/>
      </c>
      <c r="G83">
        <f>G82*$B$15</f>
        <v/>
      </c>
      <c r="H83">
        <f>H82*$B$15</f>
        <v/>
      </c>
    </row>
    <row r="84">
      <c r="A84" t="inlineStr">
        <is>
          <t>Ag disposal proceeds ($M)</t>
        </is>
      </c>
      <c r="D84" t="n">
        <v>5.5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Cash available ($M)</t>
        </is>
      </c>
      <c r="D85">
        <f>D81-D83+D84</f>
        <v/>
      </c>
      <c r="E85">
        <f>E81-E83+E84</f>
        <v/>
      </c>
      <c r="F85">
        <f>F81-F83+F84</f>
        <v/>
      </c>
      <c r="G85">
        <f>G81-G83+G84</f>
        <v/>
      </c>
      <c r="H85">
        <f>H81-H83+H84</f>
        <v/>
      </c>
    </row>
    <row r="86">
      <c r="A86" t="inlineStr">
        <is>
          <t>Debt paydown ($M)</t>
        </is>
      </c>
      <c r="D86">
        <f>MIN(D82,MAX(D85,0))</f>
        <v/>
      </c>
      <c r="E86">
        <f>MIN(E82,MAX(E85,0))</f>
        <v/>
      </c>
      <c r="F86">
        <f>MIN(F82,MAX(F85,0))</f>
        <v/>
      </c>
      <c r="G86">
        <f>MIN(G82,MAX(G85,0))</f>
        <v/>
      </c>
      <c r="H86">
        <f>MIN(H82,MAX(H85,0))</f>
        <v/>
      </c>
    </row>
    <row r="87">
      <c r="A87" t="inlineStr">
        <is>
          <t>Debt - ending ($M)</t>
        </is>
      </c>
      <c r="D87">
        <f>D82-D86</f>
        <v/>
      </c>
      <c r="E87">
        <f>E82-E86</f>
        <v/>
      </c>
      <c r="F87">
        <f>F82-F86</f>
        <v/>
      </c>
      <c r="G87">
        <f>G82-G86</f>
        <v/>
      </c>
      <c r="H87">
        <f>H82-H86</f>
        <v/>
      </c>
    </row>
    <row r="88">
      <c r="A88" t="inlineStr">
        <is>
          <t>Cash - beginning ($M)</t>
        </is>
      </c>
      <c r="D88" t="n">
        <v>0</v>
      </c>
      <c r="E88">
        <f>D89</f>
        <v/>
      </c>
      <c r="F88">
        <f>E89</f>
        <v/>
      </c>
      <c r="G88">
        <f>F89</f>
        <v/>
      </c>
      <c r="H88">
        <f>G89</f>
        <v/>
      </c>
    </row>
    <row r="89">
      <c r="A89" t="inlineStr">
        <is>
          <t>Cash - ending ($M)</t>
        </is>
      </c>
      <c r="D89">
        <f>D88+(D85-D86)</f>
        <v/>
      </c>
      <c r="E89">
        <f>E88+(E85-E86)</f>
        <v/>
      </c>
      <c r="F89">
        <f>F88+(F85-F86)</f>
        <v/>
      </c>
      <c r="G89">
        <f>G88+(G85-G86)</f>
        <v/>
      </c>
      <c r="H89">
        <f>H88+(H85-H86)</f>
        <v/>
      </c>
    </row>
    <row r="92">
      <c r="A92" s="42" t="inlineStr">
        <is>
          <t>Exit EV ($M) = Yr5 EBITDA x multiple</t>
        </is>
      </c>
      <c r="B92">
        <f>H76*5.0</f>
        <v/>
      </c>
    </row>
    <row r="93">
      <c r="A93" t="inlineStr">
        <is>
          <t xml:space="preserve">  less ending debt / plus ending cash</t>
        </is>
      </c>
    </row>
    <row r="94">
      <c r="A94" s="42" t="inlineStr">
        <is>
          <t>Exit equity ($M)</t>
        </is>
      </c>
      <c r="B94">
        <f>B92-H87+H89</f>
        <v/>
      </c>
    </row>
    <row r="95">
      <c r="A95" s="42" t="inlineStr">
        <is>
          <t>MOIC</t>
        </is>
      </c>
      <c r="B95" s="9">
        <f>B94/$B$14</f>
        <v/>
      </c>
    </row>
    <row r="96">
      <c r="A96" s="42" t="inlineStr">
        <is>
          <t>IRR (5-yr)</t>
        </is>
      </c>
      <c r="B96" s="15">
        <f>IF(B94&gt;0,(B94/$B$14)^(1/5)-1,"neg")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5" customWidth="1" min="3" max="3"/>
    <col width="14" customWidth="1" min="4" max="4"/>
  </cols>
  <sheetData>
    <row r="1">
      <c r="A1" s="40" t="inlineStr">
        <is>
          <t>LBO Sensitivity &amp; Downside Coverage</t>
        </is>
      </c>
    </row>
    <row r="3">
      <c r="A3" s="42" t="inlineStr">
        <is>
          <t>LEVERAGE SENSITIVITY (MOIC / IRR; 5-yr hold, entry 10% premium)</t>
        </is>
      </c>
    </row>
    <row r="4">
      <c r="A4" s="46" t="inlineStr">
        <is>
          <t>Acq debt ($M)</t>
        </is>
      </c>
      <c r="B4" s="46" t="inlineStr">
        <is>
          <t>Sponsor eq ($M)</t>
        </is>
      </c>
      <c r="C4" s="46" t="inlineStr">
        <is>
          <t>Bear MOIC</t>
        </is>
      </c>
      <c r="D4" s="46" t="inlineStr">
        <is>
          <t>Bear IRR</t>
        </is>
      </c>
      <c r="E4" s="46" t="inlineStr">
        <is>
          <t>Base MOIC</t>
        </is>
      </c>
      <c r="F4" s="46" t="inlineStr">
        <is>
          <t>Base IRR</t>
        </is>
      </c>
      <c r="G4" s="46" t="inlineStr">
        <is>
          <t>Bull MOIC</t>
        </is>
      </c>
      <c r="H4" s="46" t="inlineStr">
        <is>
          <t>Bull IRR</t>
        </is>
      </c>
    </row>
    <row r="5">
      <c r="A5" t="n">
        <v>14.5</v>
      </c>
      <c r="B5" t="n">
        <v>7</v>
      </c>
      <c r="C5" t="inlineStr">
        <is>
          <t>-0.2x</t>
        </is>
      </c>
      <c r="D5" t="inlineStr">
        <is>
          <t>wipe</t>
        </is>
      </c>
      <c r="E5" t="inlineStr">
        <is>
          <t>2.01x</t>
        </is>
      </c>
      <c r="F5" t="inlineStr">
        <is>
          <t>15%</t>
        </is>
      </c>
      <c r="G5" t="inlineStr">
        <is>
          <t>5.40x</t>
        </is>
      </c>
      <c r="H5" t="inlineStr">
        <is>
          <t>40%</t>
        </is>
      </c>
    </row>
    <row r="6">
      <c r="A6" t="n">
        <v>12</v>
      </c>
      <c r="B6" t="n">
        <v>9.6</v>
      </c>
      <c r="C6" t="inlineStr">
        <is>
          <t>0.19x</t>
        </is>
      </c>
      <c r="D6" t="inlineStr">
        <is>
          <t>-28%</t>
        </is>
      </c>
      <c r="E6" t="inlineStr">
        <is>
          <t>1.84x</t>
        </is>
      </c>
      <c r="F6" t="inlineStr">
        <is>
          <t>13%</t>
        </is>
      </c>
      <c r="G6" t="inlineStr">
        <is>
          <t>4.29x</t>
        </is>
      </c>
      <c r="H6" t="inlineStr">
        <is>
          <t>34%</t>
        </is>
      </c>
    </row>
    <row r="7">
      <c r="A7" s="47" t="n">
        <v>10</v>
      </c>
      <c r="B7" s="47" t="n">
        <v>11.6</v>
      </c>
      <c r="C7" s="47" t="inlineStr">
        <is>
          <t>0.39x</t>
        </is>
      </c>
      <c r="D7" s="47" t="inlineStr">
        <is>
          <t>-17%</t>
        </is>
      </c>
      <c r="E7" s="47" t="inlineStr">
        <is>
          <t>1.73x</t>
        </is>
      </c>
      <c r="F7" s="47" t="inlineStr">
        <is>
          <t>12%</t>
        </is>
      </c>
      <c r="G7" s="47" t="inlineStr">
        <is>
          <t>3.73x</t>
        </is>
      </c>
      <c r="H7" s="47" t="inlineStr">
        <is>
          <t>30%</t>
        </is>
      </c>
    </row>
    <row r="8">
      <c r="A8" t="n">
        <v>8</v>
      </c>
      <c r="B8" t="n">
        <v>13.6</v>
      </c>
      <c r="C8" t="inlineStr">
        <is>
          <t>0.53x</t>
        </is>
      </c>
      <c r="D8" t="inlineStr">
        <is>
          <t>-12%</t>
        </is>
      </c>
      <c r="E8" t="inlineStr">
        <is>
          <t>1.64x</t>
        </is>
      </c>
      <c r="F8" t="inlineStr">
        <is>
          <t>10%</t>
        </is>
      </c>
      <c r="G8" t="inlineStr">
        <is>
          <t>3.34x</t>
        </is>
      </c>
      <c r="H8" t="inlineStr">
        <is>
          <t>27%</t>
        </is>
      </c>
    </row>
    <row r="9">
      <c r="A9" s="41" t="inlineStr">
        <is>
          <t>Recommended ~$10M (&lt;=50%): bear survives (debt collateral-covered); over $12M wipes the bear.</t>
        </is>
      </c>
    </row>
    <row r="11">
      <c r="A11" s="42" t="inlineStr">
        <is>
          <t>DOWNSIDE COVERAGE AT CLOSE (bear-liquidation collateral vs entry debt)</t>
        </is>
      </c>
    </row>
    <row r="12">
      <c r="A12" s="46" t="inlineStr">
        <is>
          <t>Asset</t>
        </is>
      </c>
      <c r="B12" s="46" t="inlineStr">
        <is>
          <t>Carrying $M</t>
        </is>
      </c>
      <c r="C12" s="46" t="inlineStr">
        <is>
          <t>Bear recovery %</t>
        </is>
      </c>
      <c r="D12" s="46" t="inlineStr">
        <is>
          <t>Liquidation $M</t>
        </is>
      </c>
    </row>
    <row r="13">
      <c r="A13" t="inlineStr">
        <is>
          <t>Ag inventory</t>
        </is>
      </c>
      <c r="B13" t="n">
        <v>9.5</v>
      </c>
      <c r="C13" s="15" t="n">
        <v>0.5</v>
      </c>
      <c r="D13">
        <f>B13*C13</f>
        <v/>
      </c>
    </row>
    <row r="14">
      <c r="A14" t="inlineStr">
        <is>
          <t>Accounts receivable</t>
        </is>
      </c>
      <c r="B14" t="n">
        <v>1.6</v>
      </c>
      <c r="C14" s="15" t="n">
        <v>0.85</v>
      </c>
      <c r="D14">
        <f>B14*C14</f>
        <v/>
      </c>
    </row>
    <row r="15">
      <c r="A15" t="inlineStr">
        <is>
          <t>PP&amp;E (plants/land)</t>
        </is>
      </c>
      <c r="B15" t="n">
        <v>4.5</v>
      </c>
      <c r="C15" s="15" t="n">
        <v>0.35</v>
      </c>
      <c r="D15">
        <f>B15*C15</f>
        <v/>
      </c>
    </row>
    <row r="16">
      <c r="A16" t="inlineStr">
        <is>
          <t>Modular (going-concern floor)</t>
        </is>
      </c>
      <c r="B16" t="n">
        <v>7</v>
      </c>
      <c r="C16" s="15" t="n">
        <v>1</v>
      </c>
      <c r="D16">
        <f>B16*C16</f>
        <v/>
      </c>
    </row>
    <row r="17">
      <c r="A17" s="42" t="inlineStr">
        <is>
          <t>TOTAL COLLATERAL</t>
        </is>
      </c>
      <c r="D17">
        <f>SUM(D13:D16)</f>
        <v/>
      </c>
    </row>
    <row r="18">
      <c r="A18" t="inlineStr">
        <is>
          <t>Entry debt ($M)</t>
        </is>
      </c>
      <c r="D18" t="n">
        <v>10</v>
      </c>
    </row>
    <row r="19">
      <c r="A19" s="42" t="inlineStr">
        <is>
          <t>Coverage (x)</t>
        </is>
      </c>
      <c r="D19" s="9">
        <f>D17/D18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2026-05-31T00:53:11Z</dcterms:created>
  <dcterms:modified xmlns:dcterms="http://purl.org/dc/terms/" xmlns:xsi="http://www.w3.org/2001/XMLSchema-instance" xsi:type="dcterms:W3CDTF">2026-05-31T20:41:44Z</dcterms:modified>
</cp:coreProperties>
</file>