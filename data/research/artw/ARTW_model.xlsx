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gmentP&amp;L" sheetId="2" state="visible" r:id="rId2"/>
    <sheet xmlns:r="http://schemas.openxmlformats.org/officeDocument/2006/relationships" name="SOTP" sheetId="3" state="visible" r:id="rId3"/>
    <sheet xmlns:r="http://schemas.openxmlformats.org/officeDocument/2006/relationships" name="ModularDCF" sheetId="4" state="visible" r:id="rId4"/>
    <sheet xmlns:r="http://schemas.openxmlformats.org/officeDocument/2006/relationships" name="TwoLeg" sheetId="5" state="visible" r:id="rId5"/>
    <sheet xmlns:r="http://schemas.openxmlformats.org/officeDocument/2006/relationships" name="Scenarios" sheetId="6" state="visible" r:id="rId6"/>
    <sheet xmlns:r="http://schemas.openxmlformats.org/officeDocument/2006/relationships" name="ValueLenses" sheetId="7" state="visible" r:id="rId7"/>
    <sheet xmlns:r="http://schemas.openxmlformats.org/officeDocument/2006/relationships" name="Graham" sheetId="8" state="visible" r:id="rId8"/>
    <sheet xmlns:r="http://schemas.openxmlformats.org/officeDocument/2006/relationships" name="Peers" sheetId="9" state="visible" r:id="rId9"/>
    <sheet xmlns:r="http://schemas.openxmlformats.org/officeDocument/2006/relationships" name="Assump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.00"/>
    <numFmt numFmtId="165" formatCode="#,##0.000"/>
    <numFmt numFmtId="166" formatCode="&quot;$&quot;#,##0.0"/>
    <numFmt numFmtId="167" formatCode="0.00&quot;x&quot;"/>
    <numFmt numFmtId="168" formatCode="0.0%"/>
    <numFmt numFmtId="169" formatCode="0.0&quot;x&quot;"/>
  </numFmts>
  <fonts count="8">
    <font>
      <name val="Calibri"/>
      <family val="2"/>
      <color theme="1"/>
      <sz val="11"/>
      <scheme val="minor"/>
    </font>
    <font>
      <name val="Calibri"/>
      <b val="1"/>
      <color rgb="000A2540"/>
      <sz val="15"/>
    </font>
    <font>
      <name val="Calibri"/>
      <i val="1"/>
      <color rgb="006B7280"/>
      <sz val="9"/>
    </font>
    <font>
      <name val="Calibri"/>
      <b val="1"/>
      <color rgb="00C8102E"/>
      <sz val="11"/>
    </font>
    <font>
      <name val="Calibri"/>
      <b val="1"/>
      <color rgb="000A2540"/>
      <sz val="12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1B7A4B"/>
      <sz val="11"/>
    </font>
  </fonts>
  <fills count="5">
    <fill>
      <patternFill/>
    </fill>
    <fill>
      <patternFill patternType="gray125"/>
    </fill>
    <fill>
      <patternFill patternType="solid">
        <fgColor rgb="00FEF7F7"/>
      </patternFill>
    </fill>
    <fill>
      <patternFill patternType="solid">
        <fgColor rgb="000A2540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5" fillId="2" borderId="0" pivotButton="0" quotePrefix="0" xfId="0"/>
    <xf numFmtId="164" fontId="5" fillId="2" borderId="0" pivotButton="0" quotePrefix="0" xfId="0"/>
    <xf numFmtId="167" fontId="5" fillId="2" borderId="0" pivotButton="0" quotePrefix="0" xfId="0"/>
    <xf numFmtId="0" fontId="6" fillId="3" borderId="0" applyAlignment="1" pivotButton="0" quotePrefix="0" xfId="0">
      <alignment horizontal="center"/>
    </xf>
    <xf numFmtId="9" fontId="0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3" fontId="0" fillId="0" borderId="0" pivotButton="0" quotePrefix="0" xfId="0"/>
    <xf numFmtId="3" fontId="0" fillId="4" borderId="0" pivotButton="0" quotePrefix="0" xfId="0"/>
    <xf numFmtId="3" fontId="5" fillId="0" borderId="0" pivotButton="0" quotePrefix="0" xfId="0"/>
    <xf numFmtId="3" fontId="5" fillId="2" borderId="0" pivotButton="0" quotePrefix="0" xfId="0"/>
    <xf numFmtId="3" fontId="3" fillId="0" borderId="0" pivotButton="0" quotePrefix="0" xfId="0"/>
    <xf numFmtId="166" fontId="0" fillId="4" borderId="0" pivotButton="0" quotePrefix="0" xfId="0"/>
    <xf numFmtId="169" fontId="0" fillId="4" borderId="0" pivotButton="0" quotePrefix="0" xfId="0"/>
    <xf numFmtId="166" fontId="5" fillId="2" borderId="0" pivotButton="0" quotePrefix="0" xfId="0"/>
    <xf numFmtId="168" fontId="0" fillId="4" borderId="0" pivotButton="0" quotePrefix="0" xfId="0"/>
    <xf numFmtId="0" fontId="5" fillId="0" borderId="0" pivotButton="0" quotePrefix="0" xfId="0"/>
    <xf numFmtId="166" fontId="5" fillId="0" borderId="0" pivotButton="0" quotePrefix="0" xfId="0"/>
    <xf numFmtId="169" fontId="0" fillId="0" borderId="0" pivotButton="0" quotePrefix="0" xfId="0"/>
    <xf numFmtId="0" fontId="0" fillId="4" borderId="0" pivotButton="0" quotePrefix="0" xfId="0"/>
    <xf numFmtId="168" fontId="5" fillId="2" borderId="0" pivotButton="0" quotePrefix="0" xfId="0"/>
    <xf numFmtId="164" fontId="0" fillId="4" borderId="0" pivotButton="0" quotePrefix="0" xfId="0"/>
    <xf numFmtId="164" fontId="5" fillId="0" borderId="0" pivotButton="0" quotePrefix="0" xfId="0"/>
    <xf numFmtId="9" fontId="0" fillId="4" borderId="0" pivotButton="0" quotePrefix="0" xfId="0"/>
    <xf numFmtId="0" fontId="0" fillId="2" borderId="0" pivotButton="0" quotePrefix="0" xfId="0"/>
    <xf numFmtId="9" fontId="5" fillId="2" borderId="0" pivotButton="0" quotePrefix="0" xfId="0"/>
    <xf numFmtId="167" fontId="5" fillId="0" borderId="0" pivotButton="0" quotePrefix="0" xfId="0"/>
    <xf numFmtId="168" fontId="0" fillId="2" borderId="0" pivotButton="0" quotePrefix="0" xfId="0"/>
    <xf numFmtId="2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22" customWidth="1" min="5" max="5"/>
  </cols>
  <sheetData>
    <row r="1">
      <c r="A1" s="1" t="inlineStr">
        <is>
          <t>Art's-Way Manufacturing (ARTW) — Deep-Flow Carve-Out Valuation</t>
        </is>
      </c>
    </row>
    <row r="2">
      <c r="A2" s="2" t="inlineStr">
        <is>
          <t>v2 (lead-reviewed) · 2026-05-30 · FY ends Nov-30 · $ in millions unless noted · yellow = editable input</t>
        </is>
      </c>
    </row>
    <row r="4">
      <c r="A4" s="3" t="inlineStr">
        <is>
          <t>VERDICT</t>
        </is>
      </c>
    </row>
    <row r="5" ht="70" customHeight="1">
      <c r="A5" s="4" t="inlineStr">
        <is>
          <t>FAIRLY-TO-MODESTLY OVERVALUED on the standalone base (-4%). Not a mispriced free gem (net debt + aged ag inventory mean the modular gem sits at ~6-9x standalone EBITDA inside today's EV, ~7.8x base — fair-to-full). The return lives entirely in the bull tail (+83%) and the family-gated friendly-carve-out option. Real Graham asset floor (passes BOTH tests). At a normal control premium (FONR 31.5%) the base acquisition is underwater (0.73x MOIC).</t>
        </is>
      </c>
    </row>
    <row r="7">
      <c r="A7" s="5" t="inlineStr">
        <is>
          <t>KEY FACTS  (CITED — FY25 10-K / Q1 FY26 10-Q / DEF 14A)</t>
        </is>
      </c>
    </row>
    <row r="8">
      <c r="A8" t="inlineStr">
        <is>
          <t>Current price ($)</t>
        </is>
      </c>
      <c r="B8" s="6">
        <f>Scenarios!B3</f>
        <v/>
      </c>
      <c r="E8" s="2" t="inlineStr">
        <is>
          <t>CITED 2026-05</t>
        </is>
      </c>
    </row>
    <row r="9">
      <c r="A9" t="inlineStr">
        <is>
          <t>Shares outstanding (M)</t>
        </is>
      </c>
      <c r="B9" s="7" t="n">
        <v>5.184</v>
      </c>
      <c r="E9" s="2" t="inlineStr">
        <is>
          <t>CITED DEF 14A Mar-5-26</t>
        </is>
      </c>
    </row>
    <row r="10">
      <c r="A10" t="inlineStr">
        <is>
          <t>Market cap ($M)</t>
        </is>
      </c>
      <c r="B10" s="8">
        <f>B8*B9</f>
        <v/>
      </c>
      <c r="E10" s="2">
        <f> price x shares</f>
        <v/>
      </c>
    </row>
    <row r="11">
      <c r="A11" t="inlineStr">
        <is>
          <t>Total debt ($M)</t>
        </is>
      </c>
      <c r="B11" s="8" t="n">
        <v>6.41</v>
      </c>
      <c r="E11" s="2" t="inlineStr">
        <is>
          <t>CITED bal sheet + Note 10</t>
        </is>
      </c>
    </row>
    <row r="12">
      <c r="A12" t="inlineStr">
        <is>
          <t>less: cash ($M)</t>
        </is>
      </c>
      <c r="B12" s="8" t="n">
        <v>0.005</v>
      </c>
      <c r="E12" s="2" t="inlineStr">
        <is>
          <t>CITED near-zero cash</t>
        </is>
      </c>
    </row>
    <row r="13">
      <c r="A13" t="inlineStr">
        <is>
          <t>Net debt ($M)</t>
        </is>
      </c>
      <c r="B13" s="8">
        <f>B11-B12</f>
        <v/>
      </c>
      <c r="E13" s="2">
        <f> debt - cash</f>
        <v/>
      </c>
    </row>
    <row r="14">
      <c r="A14" t="inlineStr">
        <is>
          <t>Enterprise value ($M)</t>
        </is>
      </c>
      <c r="B14" s="8">
        <f>B10+B13</f>
        <v/>
      </c>
      <c r="E14" s="2">
        <f> mkt cap + net debt</f>
        <v/>
      </c>
    </row>
    <row r="15">
      <c r="A15" t="inlineStr">
        <is>
          <t>Book value / share ($)</t>
        </is>
      </c>
      <c r="B15" s="6" t="n">
        <v>2.57</v>
      </c>
      <c r="E15" s="2" t="inlineStr">
        <is>
          <t>CITED equity $13.306M / 5.184M</t>
        </is>
      </c>
    </row>
    <row r="16">
      <c r="A16" t="inlineStr">
        <is>
          <t>Price / book</t>
        </is>
      </c>
      <c r="B16" s="9">
        <f>B8/B15</f>
        <v/>
      </c>
      <c r="E16" s="2" t="inlineStr">
        <is>
          <t>~1.0x book</t>
        </is>
      </c>
    </row>
    <row r="17">
      <c r="A17" t="inlineStr">
        <is>
          <t>Analyst coverage</t>
        </is>
      </c>
      <c r="B17" t="inlineStr">
        <is>
          <t>0 analysts</t>
        </is>
      </c>
      <c r="E17" s="2" t="inlineStr">
        <is>
          <t>CITED — pure orphan micro-cap</t>
        </is>
      </c>
    </row>
    <row r="18">
      <c r="A18" t="inlineStr">
        <is>
          <t>Control (McConnell family group)</t>
        </is>
      </c>
      <c r="B18" s="10" t="n">
        <v>0.515</v>
      </c>
      <c r="E18" s="2" t="inlineStr">
        <is>
          <t>CITED DEF 14A — friendly deal only</t>
        </is>
      </c>
    </row>
    <row r="20">
      <c r="A20" s="5" t="inlineStr">
        <is>
          <t>HEADLINE OUTPUTS  (live from other tabs)</t>
        </is>
      </c>
    </row>
    <row r="21">
      <c r="A21" t="inlineStr">
        <is>
          <t>Base FV / share — Modular DCF blend SOTP (§3)</t>
        </is>
      </c>
      <c r="B21" s="6">
        <f>Scenarios!B8</f>
        <v/>
      </c>
    </row>
    <row r="22">
      <c r="A22" t="inlineStr">
        <is>
          <t>Base FV / share — SOTP-multiple (§1c)</t>
        </is>
      </c>
      <c r="B22" s="6">
        <f>SOTP!C27</f>
        <v/>
      </c>
    </row>
    <row r="23">
      <c r="A23" s="11" t="inlineStr">
        <is>
          <t>Standalone FV / share — BASE (blended)</t>
        </is>
      </c>
      <c r="B23" s="12">
        <f>Scenarios!B8</f>
        <v/>
      </c>
    </row>
    <row r="24">
      <c r="A24" s="11" t="inlineStr">
        <is>
          <t>Probability-weighted standalone FV / share</t>
        </is>
      </c>
      <c r="B24" s="12">
        <f>Scenarios!B11</f>
        <v/>
      </c>
    </row>
    <row r="25">
      <c r="A25" t="inlineStr">
        <is>
          <t>Prob-weighted return vs price (3-yr)</t>
        </is>
      </c>
      <c r="B25" s="10">
        <f>Scenarios!C11</f>
        <v/>
      </c>
    </row>
    <row r="26">
      <c r="A26" s="11" t="inlineStr">
        <is>
          <t>Acquisition MOIC @ FONR 31.5% premium — BASE</t>
        </is>
      </c>
      <c r="B26" s="13">
        <f>Scenarios!F8</f>
        <v/>
      </c>
    </row>
    <row r="27">
      <c r="A27" t="inlineStr">
        <is>
          <t>Acquisition MOIC — BULL</t>
        </is>
      </c>
      <c r="B27" s="9">
        <f>Scenarios!F9</f>
        <v/>
      </c>
    </row>
    <row r="29">
      <c r="A29" s="5" t="inlineStr">
        <is>
          <t>SCENARIO FAIR VALUES  (standalone carve-out, blended DCF + multiple)</t>
        </is>
      </c>
    </row>
    <row r="30">
      <c r="A30" s="14" t="inlineStr">
        <is>
          <t>Scenario</t>
        </is>
      </c>
      <c r="B30" s="14" t="inlineStr">
        <is>
          <t>FV / share</t>
        </is>
      </c>
      <c r="C30" s="14" t="inlineStr">
        <is>
          <t>vs price</t>
        </is>
      </c>
      <c r="D30" s="14" t="inlineStr">
        <is>
          <t>Probability</t>
        </is>
      </c>
    </row>
    <row r="31">
      <c r="A31" t="inlineStr">
        <is>
          <t>Bear</t>
        </is>
      </c>
      <c r="B31" s="6">
        <f>Scenarios!B7</f>
        <v/>
      </c>
      <c r="C31" s="10">
        <f>Scenarios!C7</f>
        <v/>
      </c>
      <c r="D31" s="15">
        <f>Scenarios!E7</f>
        <v/>
      </c>
    </row>
    <row r="32">
      <c r="A32" t="inlineStr">
        <is>
          <t>Base</t>
        </is>
      </c>
      <c r="B32" s="6">
        <f>Scenarios!B8</f>
        <v/>
      </c>
      <c r="C32" s="10">
        <f>Scenarios!C8</f>
        <v/>
      </c>
      <c r="D32" s="15">
        <f>Scenarios!E8</f>
        <v/>
      </c>
    </row>
    <row r="33">
      <c r="A33" t="inlineStr">
        <is>
          <t>Bull</t>
        </is>
      </c>
      <c r="B33" s="6">
        <f>Scenarios!B9</f>
        <v/>
      </c>
      <c r="C33" s="10">
        <f>Scenarios!C9</f>
        <v/>
      </c>
      <c r="D33" s="15">
        <f>Scenarios!E9</f>
        <v/>
      </c>
    </row>
    <row r="35">
      <c r="A35" s="5" t="inlineStr">
        <is>
          <t>GRAHAM / BUFFETT VALUE LENSES  (live from ValueLenses tab)</t>
        </is>
      </c>
    </row>
    <row r="36">
      <c r="A36" t="inlineStr">
        <is>
          <t>EPV modular-only, no growth (loads full net debt)</t>
        </is>
      </c>
      <c r="B36" s="6">
        <f>ValueLenses!B12</f>
        <v/>
      </c>
    </row>
    <row r="37">
      <c r="A37" t="inlineStr">
        <is>
          <t>Reverse-DCF implied perpetual FCF growth</t>
        </is>
      </c>
      <c r="B37" s="10">
        <f>ValueLenses!B20</f>
        <v/>
      </c>
    </row>
    <row r="38">
      <c r="A38" t="inlineStr">
        <is>
          <t>Owner-earnings yield (on market cap)</t>
        </is>
      </c>
      <c r="B38" s="10">
        <f>ValueLenses!B28</f>
        <v/>
      </c>
    </row>
    <row r="39">
      <c r="A39" t="inlineStr">
        <is>
          <t>Graham NCAV / share (net-net floor)</t>
        </is>
      </c>
      <c r="B39" s="6">
        <f>ValueLenses!B34</f>
        <v/>
      </c>
    </row>
    <row r="40">
      <c r="A40" t="inlineStr">
        <is>
          <t>Graham strong-financial-condition test (both prongs)</t>
        </is>
      </c>
      <c r="B40" s="16">
        <f>ValueLenses!C42&amp;" / "&amp;ValueLenses!C45</f>
        <v/>
      </c>
    </row>
    <row r="42">
      <c r="A42" s="17" t="inlineStr">
        <is>
          <t>Read: unlike HCKT (failed both Graham prongs, no asset floor), ARTW PASSES BOTH — a real static balance-sheet floor (NCAV $1.08, book ~1.0x). But the reverse-DCF says ~$20M EV already embeds ~7% perpetual growth: the market is NOT pricing a melting farm-equipment microcap. No margin of safety on the base; the upside is bull-only + the carve-out option.</t>
        </is>
      </c>
    </row>
    <row r="43"/>
    <row r="45">
      <c r="A45" s="2" t="inlineStr">
        <is>
          <t>TABS: Summary · SegmentP&amp;L · SOTP · ModularDCF · TwoLeg · Scenarios · ValueLenses · Graham · Peers · Assumptions</t>
        </is>
      </c>
    </row>
  </sheetData>
  <mergeCells count="2">
    <mergeCell ref="A5:E5"/>
    <mergeCell ref="A42:E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30" customWidth="1" min="6" max="6"/>
  </cols>
  <sheetData>
    <row r="1">
      <c r="A1" s="1" t="inlineStr">
        <is>
          <t>Segment P&amp;L — Ag Products vs Modular Buildings ($000)</t>
        </is>
      </c>
    </row>
    <row r="2">
      <c r="A2" s="2" t="inlineStr">
        <is>
          <t>CITED: 10-K Note 17 / prior 10-K. The headline conglomerate optics mask a 17%-margin modular gem averaged with a money-losing ag anchor.</t>
        </is>
      </c>
    </row>
    <row r="4">
      <c r="A4" s="5" t="inlineStr">
        <is>
          <t>AGRICULTURAL PRODUCTS (the segment to divest)</t>
        </is>
      </c>
    </row>
    <row r="5">
      <c r="A5" s="14" t="inlineStr"/>
      <c r="B5" s="14" t="inlineStr">
        <is>
          <t>FY23</t>
        </is>
      </c>
      <c r="C5" s="14" t="inlineStr">
        <is>
          <t>FY24</t>
        </is>
      </c>
      <c r="D5" s="14" t="inlineStr">
        <is>
          <t>FY25</t>
        </is>
      </c>
      <c r="E5" t="inlineStr">
        <is>
          <t>Note</t>
        </is>
      </c>
    </row>
    <row r="6">
      <c r="A6" t="inlineStr">
        <is>
          <t>Revenue</t>
        </is>
      </c>
      <c r="B6" s="18" t="n">
        <v>22467</v>
      </c>
      <c r="C6" s="18" t="n">
        <v>14663</v>
      </c>
      <c r="D6" s="18" t="n">
        <v>12749</v>
      </c>
      <c r="F6" s="2" t="inlineStr">
        <is>
          <t>CITED — collapsed -13.1% FY25</t>
        </is>
      </c>
    </row>
    <row r="7">
      <c r="A7" t="inlineStr">
        <is>
          <t>Gross profit</t>
        </is>
      </c>
      <c r="B7" s="18" t="n">
        <v>6584</v>
      </c>
      <c r="C7" s="18" t="n">
        <v>4155</v>
      </c>
      <c r="D7" s="18" t="n">
        <v>2977</v>
      </c>
      <c r="F7" s="2" t="inlineStr">
        <is>
          <t>CITED — 23.4% GM FY25</t>
        </is>
      </c>
    </row>
    <row r="8">
      <c r="A8" t="inlineStr">
        <is>
          <t xml:space="preserve">  gross margin</t>
        </is>
      </c>
      <c r="B8" s="10">
        <f>B7/B6</f>
        <v/>
      </c>
      <c r="C8" s="10">
        <f>C7/C6</f>
        <v/>
      </c>
      <c r="D8" s="10">
        <f>D7/D6</f>
        <v/>
      </c>
      <c r="F8" s="2" t="inlineStr">
        <is>
          <t>calc</t>
        </is>
      </c>
    </row>
    <row r="9">
      <c r="A9" t="inlineStr">
        <is>
          <t>Operating income (loss)</t>
        </is>
      </c>
      <c r="B9" s="18" t="n">
        <v>664</v>
      </c>
      <c r="C9" s="18" t="n">
        <v>-1510</v>
      </c>
      <c r="D9" s="18" t="n">
        <v>-1462</v>
      </c>
      <c r="F9" s="2" t="inlineStr">
        <is>
          <t>CITED — lost ~$1.5M x2 yrs</t>
        </is>
      </c>
    </row>
    <row r="10">
      <c r="A10" t="inlineStr">
        <is>
          <t xml:space="preserve">  operating margin</t>
        </is>
      </c>
      <c r="B10" s="10">
        <f>B9/B6</f>
        <v/>
      </c>
      <c r="C10" s="10">
        <f>C9/C6</f>
        <v/>
      </c>
      <c r="D10" s="10">
        <f>D9/D6</f>
        <v/>
      </c>
      <c r="F10" s="2" t="inlineStr">
        <is>
          <t>calc</t>
        </is>
      </c>
    </row>
    <row r="11">
      <c r="A11" t="inlineStr">
        <is>
          <t>Total assets</t>
        </is>
      </c>
      <c r="B11" s="18" t="n">
        <v>20754</v>
      </c>
      <c r="C11" s="18" t="n">
        <v>18372</v>
      </c>
      <c r="D11" s="18" t="n">
        <v>19204</v>
      </c>
      <c r="F11" s="2" t="inlineStr">
        <is>
          <t>CITED — inventory-heavy anchor</t>
        </is>
      </c>
    </row>
    <row r="13">
      <c r="A13" s="5" t="inlineStr">
        <is>
          <t>MODULAR BUILDINGS (Art's-Way Scientific — the gem to keep)</t>
        </is>
      </c>
    </row>
    <row r="14">
      <c r="A14" s="14" t="inlineStr"/>
      <c r="B14" s="14" t="inlineStr">
        <is>
          <t>FY23</t>
        </is>
      </c>
      <c r="C14" s="14" t="inlineStr">
        <is>
          <t>FY24</t>
        </is>
      </c>
      <c r="D14" s="14" t="inlineStr">
        <is>
          <t>FY25</t>
        </is>
      </c>
      <c r="E14" t="inlineStr">
        <is>
          <t>Note</t>
        </is>
      </c>
    </row>
    <row r="15">
      <c r="A15" t="inlineStr">
        <is>
          <t>Revenue</t>
        </is>
      </c>
      <c r="B15" s="18" t="n">
        <v>7814</v>
      </c>
      <c r="C15" s="18" t="n">
        <v>9836</v>
      </c>
      <c r="D15" s="18" t="n">
        <v>10226</v>
      </c>
      <c r="F15" s="2" t="inlineStr">
        <is>
          <t>CITED — rose every yr +4.0% FY25</t>
        </is>
      </c>
    </row>
    <row r="16">
      <c r="A16" t="inlineStr">
        <is>
          <t>Gross profit</t>
        </is>
      </c>
      <c r="B16" s="18" t="n">
        <v>2000</v>
      </c>
      <c r="C16" s="18" t="n">
        <v>3155</v>
      </c>
      <c r="D16" s="18" t="n">
        <v>3290</v>
      </c>
      <c r="F16" s="2" t="inlineStr">
        <is>
          <t>CITED — 32.2% GM FY25</t>
        </is>
      </c>
    </row>
    <row r="17">
      <c r="A17" t="inlineStr">
        <is>
          <t xml:space="preserve">  gross margin</t>
        </is>
      </c>
      <c r="B17" s="10">
        <f>B16/B15</f>
        <v/>
      </c>
      <c r="C17" s="10">
        <f>C16/C15</f>
        <v/>
      </c>
      <c r="D17" s="10">
        <f>D16/D15</f>
        <v/>
      </c>
      <c r="F17" s="2" t="inlineStr">
        <is>
          <t>calc</t>
        </is>
      </c>
    </row>
    <row r="18">
      <c r="A18" t="inlineStr">
        <is>
          <t>Operating income</t>
        </is>
      </c>
      <c r="B18" s="18" t="n">
        <v>867</v>
      </c>
      <c r="C18" s="18" t="n">
        <v>1971</v>
      </c>
      <c r="D18" s="18" t="n">
        <v>1751</v>
      </c>
      <c r="F18" s="2" t="inlineStr">
        <is>
          <t>CITED — 17.1% op margin</t>
        </is>
      </c>
    </row>
    <row r="19">
      <c r="A19" t="inlineStr">
        <is>
          <t xml:space="preserve">  operating margin</t>
        </is>
      </c>
      <c r="B19" s="10">
        <f>B18/B15</f>
        <v/>
      </c>
      <c r="C19" s="10">
        <f>C18/C15</f>
        <v/>
      </c>
      <c r="D19" s="10">
        <f>D18/D15</f>
        <v/>
      </c>
      <c r="F19" s="2" t="inlineStr">
        <is>
          <t>calc</t>
        </is>
      </c>
    </row>
    <row r="20">
      <c r="A20" t="inlineStr">
        <is>
          <t>Total assets</t>
        </is>
      </c>
      <c r="B20" s="18" t="n">
        <v>2593</v>
      </c>
      <c r="C20" s="18" t="n">
        <v>2869</v>
      </c>
      <c r="D20" s="18" t="n">
        <v>3274</v>
      </c>
      <c r="F20" s="2" t="inlineStr">
        <is>
          <t>CITED — very asset-light</t>
        </is>
      </c>
    </row>
    <row r="21">
      <c r="A21" t="inlineStr">
        <is>
          <t>D&amp;A / capex FY25</t>
        </is>
      </c>
      <c r="D21" s="18" t="n">
        <v>251</v>
      </c>
      <c r="F21" s="2" t="inlineStr">
        <is>
          <t>CITED — capex $222K (light)</t>
        </is>
      </c>
    </row>
    <row r="23">
      <c r="A23" s="5" t="inlineStr">
        <is>
          <t>ERC NORMALIZATION (consolidated, $000) — the single most important adjustment</t>
        </is>
      </c>
    </row>
    <row r="24">
      <c r="A24" s="14" t="inlineStr"/>
      <c r="B24" s="14" t="inlineStr">
        <is>
          <t>FY25 reported</t>
        </is>
      </c>
      <c r="C24" s="14" t="inlineStr">
        <is>
          <t>Adjustment</t>
        </is>
      </c>
      <c r="D24" s="14" t="inlineStr">
        <is>
          <t>Ex-ERC</t>
        </is>
      </c>
      <c r="E24" t="inlineStr">
        <is>
          <t>Note</t>
        </is>
      </c>
    </row>
    <row r="25">
      <c r="A25" t="inlineStr">
        <is>
          <t>Consolidated revenue</t>
        </is>
      </c>
      <c r="B25" s="18" t="n">
        <v>22975</v>
      </c>
      <c r="F25" s="2" t="inlineStr">
        <is>
          <t>CITED -6.2%</t>
        </is>
      </c>
    </row>
    <row r="26">
      <c r="A26" t="inlineStr">
        <is>
          <t>Consolidated operating income</t>
        </is>
      </c>
      <c r="B26" s="18" t="n">
        <v>289</v>
      </c>
      <c r="F26" s="2" t="inlineStr">
        <is>
          <t>CITED — avg of 17% biz + loser</t>
        </is>
      </c>
    </row>
    <row r="27">
      <c r="A27" t="inlineStr">
        <is>
          <t>Other income (the ERC)</t>
        </is>
      </c>
      <c r="B27" s="19" t="n">
        <v>1514</v>
      </c>
      <c r="F27" s="2" t="inlineStr">
        <is>
          <t>CITED — Employee Retention Credit, vs $3K FY24</t>
        </is>
      </c>
    </row>
    <row r="28">
      <c r="A28" t="inlineStr">
        <is>
          <t>Reported net income</t>
        </is>
      </c>
      <c r="B28" s="18" t="n">
        <v>1035</v>
      </c>
      <c r="C28" s="18">
        <f>-B27</f>
        <v/>
      </c>
      <c r="D28" s="20">
        <f>B28+C28</f>
        <v/>
      </c>
      <c r="F28" s="2" t="inlineStr">
        <is>
          <t>CITED net income is an ERC mirage</t>
        </is>
      </c>
    </row>
    <row r="29">
      <c r="A29" s="11" t="inlineStr">
        <is>
          <t>Pretax ex-ERC (op inc - interest + true other)</t>
        </is>
      </c>
      <c r="B29" s="21">
        <f>B26-367</f>
        <v/>
      </c>
      <c r="F29" s="2" t="inlineStr">
        <is>
          <t>~break-even/slight loss (interest $367K)</t>
        </is>
      </c>
    </row>
    <row r="30">
      <c r="A30" t="inlineStr">
        <is>
          <t>Operating cash flow FY25</t>
        </is>
      </c>
      <c r="B30" s="22" t="n">
        <v>-904</v>
      </c>
      <c r="F30" s="2" t="inlineStr">
        <is>
          <t>CITED negative — ag inventory build (+$1,778K)</t>
        </is>
      </c>
    </row>
    <row r="31">
      <c r="A31" t="inlineStr">
        <is>
          <t>Cash income taxes paid FY25</t>
        </is>
      </c>
      <c r="B31" s="18" t="n">
        <v>13</v>
      </c>
      <c r="F31" s="2" t="inlineStr">
        <is>
          <t>CITED ~zero (NOL shield)</t>
        </is>
      </c>
    </row>
    <row r="33">
      <c r="A33" s="5" t="inlineStr">
        <is>
          <t>LEADING INDICATORS (CITED — strongest filing evidence of momentum)</t>
        </is>
      </c>
    </row>
    <row r="34">
      <c r="A34" t="inlineStr">
        <is>
          <t>Modular backlog Feb-2 2025 -&gt; 2026</t>
        </is>
      </c>
      <c r="B34" t="inlineStr">
        <is>
          <t>$2,403K -&gt; $4,882K (+103%)</t>
        </is>
      </c>
    </row>
    <row r="35">
      <c r="A35" t="inlineStr">
        <is>
          <t>Modular backlog as of Apr-7 2026</t>
        </is>
      </c>
      <c r="B35" t="inlineStr">
        <is>
          <t>$4,513K (+83% YoY)</t>
        </is>
      </c>
    </row>
    <row r="36">
      <c r="A36" t="inlineStr">
        <is>
          <t>Q1 FY26 modular revenue</t>
        </is>
      </c>
      <c r="B36" t="inlineStr">
        <is>
          <t>$2,886K vs $2,193K (+31.6%)</t>
        </is>
      </c>
    </row>
    <row r="37">
      <c r="A37" t="inlineStr">
        <is>
          <t>Ag Products net backlog 2025 -&gt; 2026</t>
        </is>
      </c>
      <c r="B37" t="inlineStr">
        <is>
          <t>$3,486K -&gt; $3,224K (-7.5%; beet equip hurt)</t>
        </is>
      </c>
    </row>
    <row r="39">
      <c r="A39" s="17" t="inlineStr">
        <is>
          <t>Read: Modular revenue rose every year (7.8-&gt;9.8-&gt;10.2) on ~$3.3M of assets while Ag collapsed (22.5-&gt;14.7-&gt;12.7) into losses. FY25 net income $1.035M is almost entirely the $1.514M one-time ERC; ex-ERC the company was break-even. The FY25 negative OCF is an AG inventory phenomenon — modular is asset-light and cash-generative (§A6).</t>
        </is>
      </c>
    </row>
    <row r="40"/>
  </sheetData>
  <mergeCells count="5">
    <mergeCell ref="B34:D34"/>
    <mergeCell ref="B35:D35"/>
    <mergeCell ref="B36:D36"/>
    <mergeCell ref="B37:D37"/>
    <mergeCell ref="A39:F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30" customWidth="1" min="6" max="6"/>
  </cols>
  <sheetData>
    <row r="1">
      <c r="A1" s="1" t="inlineStr">
        <is>
          <t>Sum-of-the-Parts (the centerpiece) — the gem is NOT free</t>
        </is>
      </c>
    </row>
    <row r="2">
      <c r="A2" s="2" t="inlineStr">
        <is>
          <t>Carve-out equity = Modular standalone EV + net Ag disposal - net debt. Ag disposal &amp; debt netted together (revolver funds ag inventory). $ in millions.</t>
        </is>
      </c>
    </row>
    <row r="4">
      <c r="A4" s="5" t="inlineStr">
        <is>
          <t>1a. MODULAR STANDALONE EV (multiple method)</t>
        </is>
      </c>
    </row>
    <row r="5">
      <c r="A5" s="14" t="inlineStr"/>
      <c r="B5" s="14" t="inlineStr">
        <is>
          <t>Bear</t>
        </is>
      </c>
      <c r="C5" s="14" t="inlineStr">
        <is>
          <t>Base</t>
        </is>
      </c>
      <c r="D5" s="14" t="inlineStr">
        <is>
          <t>Bull</t>
        </is>
      </c>
      <c r="E5" t="inlineStr">
        <is>
          <t>Note</t>
        </is>
      </c>
    </row>
    <row r="6">
      <c r="A6" t="inlineStr">
        <is>
          <t>Standalone EBITDA used</t>
        </is>
      </c>
      <c r="B6" s="23" t="n">
        <v>1.4</v>
      </c>
      <c r="C6" s="23" t="n">
        <v>1.55</v>
      </c>
      <c r="D6" s="23" t="n">
        <v>2</v>
      </c>
      <c r="F6" s="2" t="inlineStr">
        <is>
          <t>ESTIMATED — seg EBITDA $2.0M less ~$0.45M standalone corp</t>
        </is>
      </c>
    </row>
    <row r="7">
      <c r="A7" t="inlineStr">
        <is>
          <t>EV / EBITDA multiple</t>
        </is>
      </c>
      <c r="B7" s="24" t="n">
        <v>5</v>
      </c>
      <c r="C7" s="24" t="n">
        <v>7</v>
      </c>
      <c r="D7" s="24" t="n">
        <v>10</v>
      </c>
      <c r="F7" s="2" t="inlineStr">
        <is>
          <t>FONR ~7-9x anchor; WSC 11.7-14.5x = unreachable ceiling</t>
        </is>
      </c>
    </row>
    <row r="8">
      <c r="A8" s="11" t="inlineStr">
        <is>
          <t>Modular EV (multiple)</t>
        </is>
      </c>
      <c r="B8" s="25">
        <f>B6*B7</f>
        <v/>
      </c>
      <c r="C8" s="25">
        <f>C6*C7</f>
        <v/>
      </c>
      <c r="D8" s="25">
        <f>D6*D7</f>
        <v/>
      </c>
      <c r="F8" s="2" t="inlineStr">
        <is>
          <t>Bear $7.0M / Base $10.9M / Bull $20.0M</t>
        </is>
      </c>
    </row>
    <row r="10">
      <c r="A10" s="5" t="inlineStr">
        <is>
          <t>1b. AG PRODUCTS DISPOSAL (orderly wind-down — recovery haircuts) [v2 re-centered]</t>
        </is>
      </c>
    </row>
    <row r="11">
      <c r="A11" s="2" t="inlineStr">
        <is>
          <t>Ag assets: inventory ~$9.5M, AR ~$1.6M, PP&amp;E (Armstrong plant) ~$4.5M. All haircuts ESTIMATED.</t>
        </is>
      </c>
    </row>
    <row r="12">
      <c r="A12" s="14" t="inlineStr">
        <is>
          <t>Recovery on…</t>
        </is>
      </c>
      <c r="B12" s="14" t="inlineStr">
        <is>
          <t>Asset $M</t>
        </is>
      </c>
      <c r="C12" s="14" t="inlineStr">
        <is>
          <t>Bear %</t>
        </is>
      </c>
      <c r="D12" s="14" t="inlineStr">
        <is>
          <t>Base %</t>
        </is>
      </c>
      <c r="E12" s="14" t="inlineStr">
        <is>
          <t>Bull %</t>
        </is>
      </c>
    </row>
    <row r="13">
      <c r="A13" t="inlineStr">
        <is>
          <t>Inventory (aged whole-goods)</t>
        </is>
      </c>
      <c r="B13" s="23" t="n">
        <v>9.5</v>
      </c>
      <c r="C13" s="26" t="n">
        <v>0.5</v>
      </c>
      <c r="D13" s="26" t="n">
        <v>0.6</v>
      </c>
      <c r="E13" s="26" t="n">
        <v>0.75</v>
      </c>
    </row>
    <row r="14">
      <c r="A14" t="inlineStr">
        <is>
          <t>Accounts receivable</t>
        </is>
      </c>
      <c r="B14" s="23" t="n">
        <v>1.6</v>
      </c>
      <c r="C14" s="26" t="n">
        <v>0.85</v>
      </c>
      <c r="D14" s="26" t="n">
        <v>0.95</v>
      </c>
      <c r="E14" s="26" t="n">
        <v>1</v>
      </c>
    </row>
    <row r="15">
      <c r="A15" t="inlineStr">
        <is>
          <t>PP&amp;E (single-purpose plant)</t>
        </is>
      </c>
      <c r="B15" s="23" t="n">
        <v>4.5</v>
      </c>
      <c r="C15" s="26" t="n">
        <v>0.3</v>
      </c>
      <c r="D15" s="26" t="n">
        <v>0.4</v>
      </c>
      <c r="E15" s="26" t="n">
        <v>0.55</v>
      </c>
    </row>
    <row r="16">
      <c r="A16" s="27" t="inlineStr">
        <is>
          <t>Gross disposal proceeds</t>
        </is>
      </c>
      <c r="C16" s="28">
        <f>SUMPRODUCT($B13:$B15,C13:C15)</f>
        <v/>
      </c>
      <c r="D16" s="28">
        <f>SUMPRODUCT($B13:$B15,D13:D15)</f>
        <v/>
      </c>
      <c r="E16" s="28">
        <f>SUMPRODUCT($B13:$B15,E13:E15)</f>
        <v/>
      </c>
    </row>
    <row r="17">
      <c r="A17" t="inlineStr">
        <is>
          <t>less: wind-down cost (severance/lease/warranty/txn)</t>
        </is>
      </c>
      <c r="C17" s="23" t="n">
        <v>-2</v>
      </c>
      <c r="D17" s="23" t="n">
        <v>-1.3</v>
      </c>
      <c r="E17" s="23" t="n">
        <v>-0.8</v>
      </c>
    </row>
    <row r="18">
      <c r="A18" s="11" t="inlineStr">
        <is>
          <t>Net Ag disposal proceeds</t>
        </is>
      </c>
      <c r="C18" s="25">
        <f>C16+C17</f>
        <v/>
      </c>
      <c r="D18" s="25">
        <f>D16+D17</f>
        <v/>
      </c>
      <c r="E18" s="25">
        <f>E16+E17</f>
        <v/>
      </c>
      <c r="F18" s="2" t="inlineStr">
        <is>
          <t>Base $7.7M (v1 70%-&gt;60% recenter, was $8.9M)</t>
        </is>
      </c>
    </row>
    <row r="20">
      <c r="A20" s="5" t="inlineStr">
        <is>
          <t>1c. SOTP ROLL-UP — carve-out equity (multiple method)</t>
        </is>
      </c>
    </row>
    <row r="21">
      <c r="A21" s="14" t="inlineStr"/>
      <c r="B21" s="14" t="inlineStr">
        <is>
          <t>Bear</t>
        </is>
      </c>
      <c r="C21" s="14" t="inlineStr">
        <is>
          <t>Base</t>
        </is>
      </c>
      <c r="D21" s="14" t="inlineStr">
        <is>
          <t>Bull</t>
        </is>
      </c>
      <c r="E21" t="inlineStr">
        <is>
          <t>Note</t>
        </is>
      </c>
    </row>
    <row r="22">
      <c r="A22" t="inlineStr">
        <is>
          <t>Modular EV (from 1a)</t>
        </is>
      </c>
      <c r="B22" s="8">
        <f>B8</f>
        <v/>
      </c>
      <c r="C22" s="8">
        <f>C8</f>
        <v/>
      </c>
      <c r="D22" s="8">
        <f>D8</f>
        <v/>
      </c>
    </row>
    <row r="23">
      <c r="A23" t="inlineStr">
        <is>
          <t>+ Net Ag disposal (from 1b)</t>
        </is>
      </c>
      <c r="B23" s="8">
        <f>C18</f>
        <v/>
      </c>
      <c r="C23" s="8">
        <f>D18</f>
        <v/>
      </c>
      <c r="D23" s="8">
        <f>E18</f>
        <v/>
      </c>
    </row>
    <row r="24">
      <c r="A24" t="inlineStr">
        <is>
          <t>- Net debt at close</t>
        </is>
      </c>
      <c r="B24" s="8">
        <f>$B$28</f>
        <v/>
      </c>
      <c r="C24" s="8">
        <f>$B$28</f>
        <v/>
      </c>
      <c r="D24" s="8">
        <f>$B$28</f>
        <v/>
      </c>
    </row>
    <row r="25">
      <c r="A25" s="27" t="inlineStr">
        <is>
          <t>Carve-out equity</t>
        </is>
      </c>
      <c r="B25" s="28">
        <f>B22+B23-B24</f>
        <v/>
      </c>
      <c r="C25" s="28">
        <f>C22+C23-C24</f>
        <v/>
      </c>
      <c r="D25" s="28">
        <f>D22+D23-D24</f>
        <v/>
      </c>
    </row>
    <row r="26">
      <c r="A26" t="inlineStr">
        <is>
          <t>Shares (M)</t>
        </is>
      </c>
      <c r="B26" s="7">
        <f>$B$29</f>
        <v/>
      </c>
      <c r="C26" s="7">
        <f>$B$29</f>
        <v/>
      </c>
      <c r="D26" s="7">
        <f>$B$29</f>
        <v/>
      </c>
    </row>
    <row r="27">
      <c r="A27" s="11" t="inlineStr">
        <is>
          <t>Value per share ($) — SOTP multiple</t>
        </is>
      </c>
      <c r="B27" s="12">
        <f>B25/B26</f>
        <v/>
      </c>
      <c r="C27" s="12">
        <f>C25/C26</f>
        <v/>
      </c>
      <c r="D27" s="12">
        <f>D25/D26</f>
        <v/>
      </c>
      <c r="F27" s="2" t="inlineStr">
        <is>
          <t>Bear $1.16 / Base $2.35 / Bull $4.63</t>
        </is>
      </c>
    </row>
    <row r="28">
      <c r="A28" t="inlineStr">
        <is>
          <t>Net debt ($M)</t>
        </is>
      </c>
      <c r="B28" s="8">
        <f>Summary!B13</f>
        <v/>
      </c>
    </row>
    <row r="29">
      <c r="A29" t="inlineStr">
        <is>
          <t>Shares (M)</t>
        </is>
      </c>
      <c r="B29" s="7">
        <f>Summary!B9</f>
        <v/>
      </c>
    </row>
    <row r="31">
      <c r="A31" s="5" t="inlineStr">
        <is>
          <t>1d. REVERSE-SOTP — is the modular gem free inside today's EV? NO, fair-to-full</t>
        </is>
      </c>
    </row>
    <row r="32">
      <c r="A32" s="2" t="inlineStr">
        <is>
          <t>Strip net ag disposal out of EV; see what's left implied for modular.</t>
        </is>
      </c>
    </row>
    <row r="33">
      <c r="A33" s="14" t="inlineStr">
        <is>
          <t>Ag valued at…</t>
        </is>
      </c>
      <c r="B33" s="14" t="inlineStr">
        <is>
          <t>Net ag $M</t>
        </is>
      </c>
      <c r="C33" s="14" t="inlineStr">
        <is>
          <t>Implied Modular EV</t>
        </is>
      </c>
      <c r="D33" s="14" t="inlineStr">
        <is>
          <t>Implied EV/EBITDA</t>
        </is>
      </c>
    </row>
    <row r="34">
      <c r="A34" t="inlineStr">
        <is>
          <t>EV today ($M)</t>
        </is>
      </c>
      <c r="B34" s="8">
        <f>Summary!B14</f>
        <v/>
      </c>
    </row>
    <row r="35">
      <c r="A35" t="inlineStr">
        <is>
          <t>Base orderly</t>
        </is>
      </c>
      <c r="B35" s="8">
        <f>D18</f>
        <v/>
      </c>
      <c r="C35" s="8">
        <f>$B$34-B35</f>
        <v/>
      </c>
      <c r="D35" s="29" t="n">
        <v>7.8</v>
      </c>
    </row>
    <row r="36">
      <c r="A36" t="inlineStr">
        <is>
          <t>Bull going-concern</t>
        </is>
      </c>
      <c r="B36" s="8">
        <f>E18</f>
        <v/>
      </c>
      <c r="C36" s="8">
        <f>$B$34-B36</f>
        <v/>
      </c>
      <c r="D36" s="29" t="n">
        <v>6</v>
      </c>
    </row>
    <row r="37">
      <c r="A37" t="inlineStr">
        <is>
          <t>Bear liquidation</t>
        </is>
      </c>
      <c r="B37" s="8">
        <f>C18</f>
        <v/>
      </c>
      <c r="C37" s="8">
        <f>$B$34-B37</f>
        <v/>
      </c>
      <c r="D37" s="29" t="n">
        <v>9.199999999999999</v>
      </c>
    </row>
    <row r="38">
      <c r="A38" s="17" t="inlineStr">
        <is>
          <t>Implied ~6-9.2x standalone EBITDA (~7.8x base) — fair-to-full, not free. Contrast USNA where net cash + the stake ≈ whole market cap and the core came free. Here there is no cash cushion and the ag inventory is largely offset by the debt it financed.</t>
        </is>
      </c>
    </row>
    <row r="39"/>
  </sheetData>
  <mergeCells count="1">
    <mergeCell ref="A38:F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Standalone Modular DCF — 3 scenarios ($M, explicit yr1-7)</t>
        </is>
      </c>
    </row>
    <row r="2">
      <c r="A2" s="2" t="inlineStr">
        <is>
          <t>Cash tax 15% (NOLs finite, §A2). D&amp;A &amp; capex ~2.5% rev (asset-light). ΔWC 10% of incremental rev. NO net debt in EV (debt retired by ag disposal — see SOTP §1c).</t>
        </is>
      </c>
    </row>
    <row r="3">
      <c r="A3" s="14" t="inlineStr">
        <is>
          <t>Driver / Year</t>
        </is>
      </c>
      <c r="B3" s="14" t="inlineStr">
        <is>
          <t>Bear</t>
        </is>
      </c>
      <c r="C3" s="14" t="inlineStr">
        <is>
          <t>Base</t>
        </is>
      </c>
      <c r="D3" s="14" t="inlineStr">
        <is>
          <t>Bull</t>
        </is>
      </c>
    </row>
    <row r="4">
      <c r="A4" t="inlineStr">
        <is>
          <t>Base-year revenue (FY25 modular)</t>
        </is>
      </c>
      <c r="B4" s="23" t="n">
        <v>10.226</v>
      </c>
      <c r="C4" s="23" t="n">
        <v>10.226</v>
      </c>
      <c r="D4" s="23" t="n">
        <v>10.226</v>
      </c>
    </row>
    <row r="5">
      <c r="A5" t="inlineStr">
        <is>
          <t>Yr1 revenue growth</t>
        </is>
      </c>
      <c r="B5" s="26" t="n">
        <v>-0.1</v>
      </c>
      <c r="C5" s="26" t="n">
        <v>0.08</v>
      </c>
      <c r="D5" s="26" t="n">
        <v>0.18</v>
      </c>
    </row>
    <row r="6">
      <c r="A6" t="inlineStr">
        <is>
          <t>Yr2 revenue growth</t>
        </is>
      </c>
      <c r="B6" s="26" t="n">
        <v>-0.05</v>
      </c>
      <c r="C6" s="26" t="n">
        <v>0.06</v>
      </c>
      <c r="D6" s="26" t="n">
        <v>0.14</v>
      </c>
    </row>
    <row r="7">
      <c r="A7" t="inlineStr">
        <is>
          <t>Yr3 revenue growth</t>
        </is>
      </c>
      <c r="B7" s="26" t="n">
        <v>0</v>
      </c>
      <c r="C7" s="26" t="n">
        <v>0.05</v>
      </c>
      <c r="D7" s="26" t="n">
        <v>0.1</v>
      </c>
    </row>
    <row r="8">
      <c r="A8" t="inlineStr">
        <is>
          <t>Yr4 revenue growth</t>
        </is>
      </c>
      <c r="B8" s="26" t="n">
        <v>0.02</v>
      </c>
      <c r="C8" s="26" t="n">
        <v>0.04</v>
      </c>
      <c r="D8" s="26" t="n">
        <v>0.08</v>
      </c>
    </row>
    <row r="9">
      <c r="A9" t="inlineStr">
        <is>
          <t>Yr5 revenue growth</t>
        </is>
      </c>
      <c r="B9" s="26" t="n">
        <v>0.02</v>
      </c>
      <c r="C9" s="26" t="n">
        <v>0.04</v>
      </c>
      <c r="D9" s="26" t="n">
        <v>0.06</v>
      </c>
    </row>
    <row r="10">
      <c r="A10" t="inlineStr">
        <is>
          <t>Yr6 revenue growth</t>
        </is>
      </c>
      <c r="B10" s="26" t="n">
        <v>0.02</v>
      </c>
      <c r="C10" s="26" t="n">
        <v>0.035</v>
      </c>
      <c r="D10" s="26" t="n">
        <v>0.05</v>
      </c>
    </row>
    <row r="11">
      <c r="A11" t="inlineStr">
        <is>
          <t>Yr7 revenue growth</t>
        </is>
      </c>
      <c r="B11" s="26" t="n">
        <v>0.02</v>
      </c>
      <c r="C11" s="26" t="n">
        <v>0.03</v>
      </c>
      <c r="D11" s="26" t="n">
        <v>0.04</v>
      </c>
    </row>
    <row r="12">
      <c r="A12" t="inlineStr">
        <is>
          <t>EBITDA margin</t>
        </is>
      </c>
      <c r="B12" s="26" t="n">
        <v>0.13</v>
      </c>
      <c r="C12" s="26" t="n">
        <v>0.16</v>
      </c>
      <c r="D12" s="26" t="n">
        <v>0.19</v>
      </c>
    </row>
    <row r="13">
      <c r="A13" t="inlineStr">
        <is>
          <t>D&amp;A (% of revenue)</t>
        </is>
      </c>
      <c r="B13" s="26" t="n">
        <v>0.025</v>
      </c>
      <c r="C13" s="26" t="n">
        <v>0.025</v>
      </c>
      <c r="D13" s="26" t="n">
        <v>0.025</v>
      </c>
    </row>
    <row r="14">
      <c r="A14" t="inlineStr">
        <is>
          <t>Cash tax rate</t>
        </is>
      </c>
      <c r="B14" s="26" t="n">
        <v>0.15</v>
      </c>
      <c r="C14" s="26" t="n">
        <v>0.15</v>
      </c>
      <c r="D14" s="26" t="n">
        <v>0.15</v>
      </c>
    </row>
    <row r="15">
      <c r="A15" t="inlineStr">
        <is>
          <t>Capex (% of revenue)</t>
        </is>
      </c>
      <c r="B15" s="26" t="n">
        <v>0.025</v>
      </c>
      <c r="C15" s="26" t="n">
        <v>0.025</v>
      </c>
      <c r="D15" s="26" t="n">
        <v>0.025</v>
      </c>
    </row>
    <row r="16">
      <c r="A16" t="inlineStr">
        <is>
          <t>ΔWC (% of incremental rev)</t>
        </is>
      </c>
      <c r="B16" s="26" t="n">
        <v>0.1</v>
      </c>
      <c r="C16" s="26" t="n">
        <v>0.1</v>
      </c>
      <c r="D16" s="26" t="n">
        <v>0.1</v>
      </c>
    </row>
    <row r="17">
      <c r="A17" t="inlineStr">
        <is>
          <t>WACC</t>
        </is>
      </c>
      <c r="B17" s="26" t="n">
        <v>0.15</v>
      </c>
      <c r="C17" s="26" t="n">
        <v>0.135</v>
      </c>
      <c r="D17" s="26" t="n">
        <v>0.12</v>
      </c>
    </row>
    <row r="18">
      <c r="A18" t="inlineStr">
        <is>
          <t>Terminal growth</t>
        </is>
      </c>
      <c r="B18" s="26" t="n">
        <v>0.01</v>
      </c>
      <c r="C18" s="26" t="n">
        <v>0.025</v>
      </c>
      <c r="D18" s="26" t="n">
        <v>0.03</v>
      </c>
    </row>
    <row r="20">
      <c r="A20" s="5" t="inlineStr">
        <is>
          <t>PROJECTION ($M)</t>
        </is>
      </c>
    </row>
    <row r="21">
      <c r="A21" t="inlineStr">
        <is>
          <t>Revenue Yr1</t>
        </is>
      </c>
      <c r="B21" s="8">
        <f>B4*(1+B5)</f>
        <v/>
      </c>
      <c r="C21" s="8">
        <f>C4*(1+C5)</f>
        <v/>
      </c>
      <c r="D21" s="8">
        <f>D4*(1+D5)</f>
        <v/>
      </c>
    </row>
    <row r="22">
      <c r="A22" t="inlineStr">
        <is>
          <t>Revenue Yr2</t>
        </is>
      </c>
      <c r="B22" s="8">
        <f>B21*(1+B6)</f>
        <v/>
      </c>
      <c r="C22" s="8">
        <f>C21*(1+C6)</f>
        <v/>
      </c>
      <c r="D22" s="8">
        <f>D21*(1+D6)</f>
        <v/>
      </c>
    </row>
    <row r="23">
      <c r="A23" t="inlineStr">
        <is>
          <t>Revenue Yr3</t>
        </is>
      </c>
      <c r="B23" s="8">
        <f>B22*(1+B7)</f>
        <v/>
      </c>
      <c r="C23" s="8">
        <f>C22*(1+C7)</f>
        <v/>
      </c>
      <c r="D23" s="8">
        <f>D22*(1+D7)</f>
        <v/>
      </c>
    </row>
    <row r="24">
      <c r="A24" t="inlineStr">
        <is>
          <t>Revenue Yr4</t>
        </is>
      </c>
      <c r="B24" s="8">
        <f>B23*(1+B8)</f>
        <v/>
      </c>
      <c r="C24" s="8">
        <f>C23*(1+C8)</f>
        <v/>
      </c>
      <c r="D24" s="8">
        <f>D23*(1+D8)</f>
        <v/>
      </c>
    </row>
    <row r="25">
      <c r="A25" t="inlineStr">
        <is>
          <t>Revenue Yr5</t>
        </is>
      </c>
      <c r="B25" s="8">
        <f>B24*(1+B9)</f>
        <v/>
      </c>
      <c r="C25" s="8">
        <f>C24*(1+C9)</f>
        <v/>
      </c>
      <c r="D25" s="8">
        <f>D24*(1+D9)</f>
        <v/>
      </c>
    </row>
    <row r="26">
      <c r="A26" t="inlineStr">
        <is>
          <t>Revenue Yr6</t>
        </is>
      </c>
      <c r="B26" s="8">
        <f>B25*(1+B10)</f>
        <v/>
      </c>
      <c r="C26" s="8">
        <f>C25*(1+C10)</f>
        <v/>
      </c>
      <c r="D26" s="8">
        <f>D25*(1+D10)</f>
        <v/>
      </c>
    </row>
    <row r="27">
      <c r="A27" t="inlineStr">
        <is>
          <t>Revenue Yr7</t>
        </is>
      </c>
      <c r="B27" s="8">
        <f>B26*(1+B11)</f>
        <v/>
      </c>
      <c r="C27" s="8">
        <f>C26*(1+C11)</f>
        <v/>
      </c>
      <c r="D27" s="8">
        <f>D26*(1+D11)</f>
        <v/>
      </c>
    </row>
    <row r="28">
      <c r="A28" t="inlineStr">
        <is>
          <t>EBITDA</t>
        </is>
      </c>
    </row>
    <row r="29">
      <c r="A29" t="inlineStr">
        <is>
          <t>EBITDA Yr1</t>
        </is>
      </c>
      <c r="B29" s="8">
        <f>B21*B$12</f>
        <v/>
      </c>
      <c r="C29" s="8">
        <f>C21*C$12</f>
        <v/>
      </c>
      <c r="D29" s="8">
        <f>D21*D$12</f>
        <v/>
      </c>
    </row>
    <row r="30">
      <c r="A30" t="inlineStr">
        <is>
          <t>EBITDA Yr2</t>
        </is>
      </c>
      <c r="B30" s="8">
        <f>B22*B$12</f>
        <v/>
      </c>
      <c r="C30" s="8">
        <f>C22*C$12</f>
        <v/>
      </c>
      <c r="D30" s="8">
        <f>D22*D$12</f>
        <v/>
      </c>
    </row>
    <row r="31">
      <c r="A31" t="inlineStr">
        <is>
          <t>EBITDA Yr3</t>
        </is>
      </c>
      <c r="B31" s="8">
        <f>B23*B$12</f>
        <v/>
      </c>
      <c r="C31" s="8">
        <f>C23*C$12</f>
        <v/>
      </c>
      <c r="D31" s="8">
        <f>D23*D$12</f>
        <v/>
      </c>
    </row>
    <row r="32">
      <c r="A32" t="inlineStr">
        <is>
          <t>EBITDA Yr4</t>
        </is>
      </c>
      <c r="B32" s="8">
        <f>B24*B$12</f>
        <v/>
      </c>
      <c r="C32" s="8">
        <f>C24*C$12</f>
        <v/>
      </c>
      <c r="D32" s="8">
        <f>D24*D$12</f>
        <v/>
      </c>
    </row>
    <row r="33">
      <c r="A33" t="inlineStr">
        <is>
          <t>EBITDA Yr5</t>
        </is>
      </c>
      <c r="B33" s="8">
        <f>B25*B$12</f>
        <v/>
      </c>
      <c r="C33" s="8">
        <f>C25*C$12</f>
        <v/>
      </c>
      <c r="D33" s="8">
        <f>D25*D$12</f>
        <v/>
      </c>
    </row>
    <row r="34">
      <c r="A34" t="inlineStr">
        <is>
          <t>EBITDA Yr6</t>
        </is>
      </c>
      <c r="B34" s="8">
        <f>B26*B$12</f>
        <v/>
      </c>
      <c r="C34" s="8">
        <f>C26*C$12</f>
        <v/>
      </c>
      <c r="D34" s="8">
        <f>D26*D$12</f>
        <v/>
      </c>
    </row>
    <row r="35">
      <c r="A35" t="inlineStr">
        <is>
          <t>EBITDA Yr7</t>
        </is>
      </c>
      <c r="B35" s="8">
        <f>B27*B$12</f>
        <v/>
      </c>
      <c r="C35" s="8">
        <f>C27*C$12</f>
        <v/>
      </c>
      <c r="D35" s="8">
        <f>D27*D$12</f>
        <v/>
      </c>
    </row>
    <row r="36">
      <c r="A36" t="inlineStr">
        <is>
          <t>Free cash flow</t>
        </is>
      </c>
    </row>
    <row r="37">
      <c r="A37" t="inlineStr">
        <is>
          <t>FCF Yr1</t>
        </is>
      </c>
      <c r="B37" s="8">
        <f>B29-(B29-B21*B$13)*B$14-B21*B$15-(B21-B4)*B$16</f>
        <v/>
      </c>
      <c r="C37" s="8">
        <f>C29-(C29-C21*C$13)*C$14-C21*C$15-(C21-C4)*C$16</f>
        <v/>
      </c>
      <c r="D37" s="8">
        <f>D29-(D29-D21*D$13)*D$14-D21*D$15-(D21-D4)*D$16</f>
        <v/>
      </c>
    </row>
    <row r="38">
      <c r="A38" t="inlineStr">
        <is>
          <t>FCF Yr2</t>
        </is>
      </c>
      <c r="B38" s="8">
        <f>B30-(B30-B22*B$13)*B$14-B22*B$15-(B22-B21)*B$16</f>
        <v/>
      </c>
      <c r="C38" s="8">
        <f>C30-(C30-C22*C$13)*C$14-C22*C$15-(C22-C21)*C$16</f>
        <v/>
      </c>
      <c r="D38" s="8">
        <f>D30-(D30-D22*D$13)*D$14-D22*D$15-(D22-D21)*D$16</f>
        <v/>
      </c>
    </row>
    <row r="39">
      <c r="A39" t="inlineStr">
        <is>
          <t>FCF Yr3</t>
        </is>
      </c>
      <c r="B39" s="8">
        <f>B31-(B31-B23*B$13)*B$14-B23*B$15-(B23-B22)*B$16</f>
        <v/>
      </c>
      <c r="C39" s="8">
        <f>C31-(C31-C23*C$13)*C$14-C23*C$15-(C23-C22)*C$16</f>
        <v/>
      </c>
      <c r="D39" s="8">
        <f>D31-(D31-D23*D$13)*D$14-D23*D$15-(D23-D22)*D$16</f>
        <v/>
      </c>
    </row>
    <row r="40">
      <c r="A40" t="inlineStr">
        <is>
          <t>FCF Yr4</t>
        </is>
      </c>
      <c r="B40" s="8">
        <f>B32-(B32-B24*B$13)*B$14-B24*B$15-(B24-B23)*B$16</f>
        <v/>
      </c>
      <c r="C40" s="8">
        <f>C32-(C32-C24*C$13)*C$14-C24*C$15-(C24-C23)*C$16</f>
        <v/>
      </c>
      <c r="D40" s="8">
        <f>D32-(D32-D24*D$13)*D$14-D24*D$15-(D24-D23)*D$16</f>
        <v/>
      </c>
    </row>
    <row r="41">
      <c r="A41" t="inlineStr">
        <is>
          <t>FCF Yr5</t>
        </is>
      </c>
      <c r="B41" s="8">
        <f>B33-(B33-B25*B$13)*B$14-B25*B$15-(B25-B24)*B$16</f>
        <v/>
      </c>
      <c r="C41" s="8">
        <f>C33-(C33-C25*C$13)*C$14-C25*C$15-(C25-C24)*C$16</f>
        <v/>
      </c>
      <c r="D41" s="8">
        <f>D33-(D33-D25*D$13)*D$14-D25*D$15-(D25-D24)*D$16</f>
        <v/>
      </c>
    </row>
    <row r="42">
      <c r="A42" t="inlineStr">
        <is>
          <t>FCF Yr6</t>
        </is>
      </c>
      <c r="B42" s="8">
        <f>B34-(B34-B26*B$13)*B$14-B26*B$15-(B26-B25)*B$16</f>
        <v/>
      </c>
      <c r="C42" s="8">
        <f>C34-(C34-C26*C$13)*C$14-C26*C$15-(C26-C25)*C$16</f>
        <v/>
      </c>
      <c r="D42" s="8">
        <f>D34-(D34-D26*D$13)*D$14-D26*D$15-(D26-D25)*D$16</f>
        <v/>
      </c>
    </row>
    <row r="43">
      <c r="A43" t="inlineStr">
        <is>
          <t>FCF Yr7</t>
        </is>
      </c>
      <c r="B43" s="8">
        <f>B35-(B35-B27*B$13)*B$14-B27*B$15-(B27-B26)*B$16</f>
        <v/>
      </c>
      <c r="C43" s="8">
        <f>C35-(C35-C27*C$13)*C$14-C27*C$15-(C27-C26)*C$16</f>
        <v/>
      </c>
      <c r="D43" s="8">
        <f>D35-(D35-D27*D$13)*D$14-D27*D$15-(D27-D26)*D$16</f>
        <v/>
      </c>
    </row>
    <row r="44">
      <c r="A44" t="inlineStr">
        <is>
          <t>PV of FCF</t>
        </is>
      </c>
    </row>
    <row r="45">
      <c r="A45" t="inlineStr">
        <is>
          <t>PV FCF Yr1</t>
        </is>
      </c>
      <c r="B45" s="8">
        <f>B37/(1+B$17)^1</f>
        <v/>
      </c>
      <c r="C45" s="8">
        <f>C37/(1+C$17)^1</f>
        <v/>
      </c>
      <c r="D45" s="8">
        <f>D37/(1+D$17)^1</f>
        <v/>
      </c>
    </row>
    <row r="46">
      <c r="A46" t="inlineStr">
        <is>
          <t>PV FCF Yr2</t>
        </is>
      </c>
      <c r="B46" s="8">
        <f>B38/(1+B$17)^2</f>
        <v/>
      </c>
      <c r="C46" s="8">
        <f>C38/(1+C$17)^2</f>
        <v/>
      </c>
      <c r="D46" s="8">
        <f>D38/(1+D$17)^2</f>
        <v/>
      </c>
    </row>
    <row r="47">
      <c r="A47" t="inlineStr">
        <is>
          <t>PV FCF Yr3</t>
        </is>
      </c>
      <c r="B47" s="8">
        <f>B39/(1+B$17)^3</f>
        <v/>
      </c>
      <c r="C47" s="8">
        <f>C39/(1+C$17)^3</f>
        <v/>
      </c>
      <c r="D47" s="8">
        <f>D39/(1+D$17)^3</f>
        <v/>
      </c>
    </row>
    <row r="48">
      <c r="A48" t="inlineStr">
        <is>
          <t>PV FCF Yr4</t>
        </is>
      </c>
      <c r="B48" s="8">
        <f>B40/(1+B$17)^4</f>
        <v/>
      </c>
      <c r="C48" s="8">
        <f>C40/(1+C$17)^4</f>
        <v/>
      </c>
      <c r="D48" s="8">
        <f>D40/(1+D$17)^4</f>
        <v/>
      </c>
    </row>
    <row r="49">
      <c r="A49" t="inlineStr">
        <is>
          <t>PV FCF Yr5</t>
        </is>
      </c>
      <c r="B49" s="8">
        <f>B41/(1+B$17)^5</f>
        <v/>
      </c>
      <c r="C49" s="8">
        <f>C41/(1+C$17)^5</f>
        <v/>
      </c>
      <c r="D49" s="8">
        <f>D41/(1+D$17)^5</f>
        <v/>
      </c>
    </row>
    <row r="50">
      <c r="A50" t="inlineStr">
        <is>
          <t>PV FCF Yr6</t>
        </is>
      </c>
      <c r="B50" s="8">
        <f>B42/(1+B$17)^6</f>
        <v/>
      </c>
      <c r="C50" s="8">
        <f>C42/(1+C$17)^6</f>
        <v/>
      </c>
      <c r="D50" s="8">
        <f>D42/(1+D$17)^6</f>
        <v/>
      </c>
    </row>
    <row r="51">
      <c r="A51" t="inlineStr">
        <is>
          <t>PV FCF Yr7</t>
        </is>
      </c>
      <c r="B51" s="8">
        <f>B43/(1+B$17)^7</f>
        <v/>
      </c>
      <c r="C51" s="8">
        <f>C43/(1+C$17)^7</f>
        <v/>
      </c>
      <c r="D51" s="8">
        <f>D43/(1+D$17)^7</f>
        <v/>
      </c>
    </row>
    <row r="53">
      <c r="A53" s="27" t="inlineStr">
        <is>
          <t>PV of explicit FCF (sum)</t>
        </is>
      </c>
      <c r="B53" s="8">
        <f>SUM(B45:B51)</f>
        <v/>
      </c>
      <c r="C53" s="8">
        <f>SUM(C45:C51)</f>
        <v/>
      </c>
      <c r="D53" s="8">
        <f>SUM(D45:D51)</f>
        <v/>
      </c>
    </row>
    <row r="54">
      <c r="A54" t="inlineStr">
        <is>
          <t>Terminal value (on Yr7 FCF)</t>
        </is>
      </c>
      <c r="B54" s="8">
        <f>B43*(1+B$18)/(B$17-B$18)</f>
        <v/>
      </c>
      <c r="C54" s="8">
        <f>C43*(1+C$18)/(C$17-C$18)</f>
        <v/>
      </c>
      <c r="D54" s="8">
        <f>D43*(1+D$18)/(D$17-D$18)</f>
        <v/>
      </c>
    </row>
    <row r="55">
      <c r="A55" t="inlineStr">
        <is>
          <t>PV of terminal value</t>
        </is>
      </c>
      <c r="B55" s="8">
        <f>B54/(1+B$17)^7</f>
        <v/>
      </c>
      <c r="C55" s="8">
        <f>C54/(1+C$17)^7</f>
        <v/>
      </c>
      <c r="D55" s="8">
        <f>D54/(1+D$17)^7</f>
        <v/>
      </c>
    </row>
    <row r="56">
      <c r="A56" s="11" t="inlineStr">
        <is>
          <t>Modular Enterprise Value</t>
        </is>
      </c>
      <c r="B56" s="25">
        <f>B53+B55</f>
        <v/>
      </c>
      <c r="C56" s="25">
        <f>C53+C55</f>
        <v/>
      </c>
      <c r="D56" s="25">
        <f>D53+D55</f>
        <v/>
      </c>
    </row>
    <row r="58">
      <c r="A58" s="17" t="inlineStr">
        <is>
          <t>Lead-review targets: Modular EV bear $5.7M / base $12.1M / bull $21.0M. The live explicit build matches bear ($5.7M) and base ($12.1M) to the cent; the BULL runs slightly hot at ~$22.6M because model.md's stated bull input grid (+18/+14/+10/+8/+6/+5/+4%, 19% margin, WACC 12%, g 3.0%) computes to $22.6M while model.md rounded its bull total to $21.0M. Formulas are kept live (not hardcoded to $21.0M) per the no-black-box discipline; flex the yellow bull inputs to tie to $21.0M if desired. DCF base ($12.1M) corroborates SOTP-multiple base ($10.9M) within ~10% -&gt; base modular EV ~$11-12M robust.</t>
        </is>
      </c>
    </row>
    <row r="59"/>
    <row r="60"/>
    <row r="61"/>
    <row r="62"/>
  </sheetData>
  <mergeCells count="1">
    <mergeCell ref="A58:D6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36" customWidth="1" min="5" max="5"/>
  </cols>
  <sheetData>
    <row r="1">
      <c r="A1" s="1" t="inlineStr">
        <is>
          <t>Two-leg operating model — Art's-Way Scientific standalone</t>
        </is>
      </c>
    </row>
    <row r="2">
      <c r="A2" s="3" t="inlineStr">
        <is>
          <t>The 60/40 split is ESTIMATED — THE DATA FLOOR (§A3/§10). Below the segment total, everything is estimated from one '+$1.355M ag-building' breadcrumb.</t>
        </is>
      </c>
    </row>
    <row r="4">
      <c r="A4" s="14" t="inlineStr">
        <is>
          <t>Leg</t>
        </is>
      </c>
      <c r="B4" s="14" t="inlineStr">
        <is>
          <t>FY25 rev $M</t>
        </is>
      </c>
      <c r="C4" s="14" t="inlineStr">
        <is>
          <t>% of modular</t>
        </is>
      </c>
      <c r="D4" s="14" t="inlineStr">
        <is>
          <t>Base near-term growth</t>
        </is>
      </c>
      <c r="E4" s="14" t="inlineStr">
        <is>
          <t>Policy macro</t>
        </is>
      </c>
    </row>
    <row r="5" ht="44" customHeight="1">
      <c r="A5" t="inlineStr">
        <is>
          <t>Research / biocontainment labs</t>
        </is>
      </c>
      <c r="B5" s="23" t="n">
        <v>6.1</v>
      </c>
      <c r="C5" s="10">
        <f>B5/B7</f>
        <v/>
      </c>
      <c r="D5" s="30" t="inlineStr">
        <is>
          <t>flat-to-+3% -&gt; +5-7%</t>
        </is>
      </c>
      <c r="E5" s="4" t="inlineStr">
        <is>
          <t>NIH-uncertainty CHILL (cap struck down Jan-26) -&gt; secular tailwind; pharma/biodefense/DoD/private diagnostics diversify off NIH</t>
        </is>
      </c>
    </row>
    <row r="6" ht="44" customHeight="1">
      <c r="A6" t="inlineStr">
        <is>
          <t>Ag / animal-biosecurity buildings</t>
        </is>
      </c>
      <c r="B6" s="23" t="n">
        <v>4.1</v>
      </c>
      <c r="C6" s="10">
        <f>B6/B7</f>
        <v/>
      </c>
      <c r="D6" s="30" t="inlineStr">
        <is>
          <t>+5% then revert +2-3%</t>
        </is>
      </c>
      <c r="E6" s="4" t="inlineStr">
        <is>
          <t>USDA up-to-$1B HPAI plan ($500M cost-share @75%) FUNDING NOW; drove FY25 +$1.355M (+49%); event-driven/cyclical</t>
        </is>
      </c>
    </row>
    <row r="7">
      <c r="A7" s="11" t="inlineStr">
        <is>
          <t>Total modular (cited)</t>
        </is>
      </c>
      <c r="B7" s="25" t="n">
        <v>10.226</v>
      </c>
      <c r="C7" s="31">
        <f>C5+C6</f>
        <v/>
      </c>
    </row>
    <row r="9">
      <c r="A9" s="5" t="inlineStr">
        <is>
          <t>THE POLICY HEDGE (the most attractive structural feature)</t>
        </is>
      </c>
    </row>
    <row r="10">
      <c r="A10" s="17" t="inlineStr">
        <is>
          <t>The two legs are NEGATIVELY CORRELATED ON POLICY: when the research leg is chilled by federal-science budget fights, the ag-bio leg is funded by a different federal pocket (USDA biosecurity). A single 'modular farm-building' tag misses this hedge entirely. Blended segment ~32% GM / ~17% op margin (cited), lumpy/project-based. Backlog $4.88M (Feb-26, +103% YoY) underwrites ~6 months visibility.</t>
        </is>
      </c>
    </row>
    <row r="11"/>
    <row r="12"/>
    <row r="14">
      <c r="A14" s="5" t="inlineStr">
        <is>
          <t>WHY THE SPLIT IS THE #2 TORNADO DRIVER</t>
        </is>
      </c>
    </row>
    <row r="15">
      <c r="A15" s="17" t="inlineStr">
        <is>
          <t>The 10-K gives only the modular segment total ($10.226M rev, $1.751M op inc) and the '+$1.355M ag-building' breadcrumb (implies FY24 ag-building base ~$2.77M -&gt; FY25 ag-bio leg ~$4.1M = ~40%). Margins by leg are NOT disclosed; research-lab assumed higher margin (BSL/vivarium, longer cycle), ag-bio lower, blending to the cited 32.2% GM. Closes only with IR/management calls or if ARTW breaks out the legs.</t>
        </is>
      </c>
    </row>
    <row r="16"/>
    <row r="17"/>
  </sheetData>
  <mergeCells count="2">
    <mergeCell ref="A10:E12"/>
    <mergeCell ref="A15:E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4" customWidth="1" min="6" max="6"/>
    <col width="14" customWidth="1" min="7" max="7"/>
  </cols>
  <sheetData>
    <row r="1">
      <c r="A1" s="1" t="inlineStr">
        <is>
          <t>Scenarios &amp; returns — standalone FV + acquisition MOIC</t>
        </is>
      </c>
    </row>
    <row r="3">
      <c r="A3" t="inlineStr">
        <is>
          <t>Current price ($)</t>
        </is>
      </c>
      <c r="B3" s="32" t="n">
        <v>2.58</v>
      </c>
    </row>
    <row r="4">
      <c r="A4" t="inlineStr">
        <is>
          <t>Acquisition premium (FONR precedent)</t>
        </is>
      </c>
      <c r="B4" s="26" t="n">
        <v>0.315</v>
      </c>
    </row>
    <row r="5">
      <c r="A5" s="27" t="inlineStr">
        <is>
          <t>Acquisition buy-in price ($)</t>
        </is>
      </c>
      <c r="B5" s="33">
        <f>B3*(1+B4)</f>
        <v/>
      </c>
      <c r="C5" s="2">
        <f> $3.39/sh at 31.5% premium</f>
        <v/>
      </c>
    </row>
    <row r="6">
      <c r="A6" s="5" t="inlineStr">
        <is>
          <t>STANDALONE CARVE-OUT FAIR VALUE (blended DCF + multiple, §3)</t>
        </is>
      </c>
    </row>
    <row r="7">
      <c r="A7" s="14" t="inlineStr">
        <is>
          <t>Scenario</t>
        </is>
      </c>
      <c r="B7" s="14" t="inlineStr">
        <is>
          <t>FV $/sh</t>
        </is>
      </c>
      <c r="C7" s="14" t="inlineStr">
        <is>
          <t>vs price</t>
        </is>
      </c>
      <c r="D7" s="14" t="inlineStr">
        <is>
          <t>Acq buy-in $</t>
        </is>
      </c>
      <c r="E7" s="14" t="inlineStr">
        <is>
          <t>Probability</t>
        </is>
      </c>
      <c r="F7" s="14" t="inlineStr">
        <is>
          <t>Acq MOIC</t>
        </is>
      </c>
    </row>
    <row r="8">
      <c r="A8" t="inlineStr">
        <is>
          <t>Bear</t>
        </is>
      </c>
      <c r="B8" s="6">
        <f>(((ModularDCF!B56)+(SOTP!B8))/2+SOTP!C18-SOTP!$B$28)/SOTP!$B$29</f>
        <v/>
      </c>
      <c r="C8" s="10">
        <f>B8/$B$3-1</f>
        <v/>
      </c>
      <c r="D8" s="6">
        <f>$B$5</f>
        <v/>
      </c>
      <c r="E8" s="34" t="n">
        <v>0.3</v>
      </c>
      <c r="F8" s="9">
        <f>B8/D8</f>
        <v/>
      </c>
    </row>
    <row r="9">
      <c r="A9" t="inlineStr">
        <is>
          <t>Base</t>
        </is>
      </c>
      <c r="B9" s="6">
        <f>(((ModularDCF!C56)+(SOTP!C8))/2+SOTP!D18-SOTP!$B$28)/SOTP!$B$29</f>
        <v/>
      </c>
      <c r="C9" s="10">
        <f>B9/$B$3-1</f>
        <v/>
      </c>
      <c r="D9" s="6">
        <f>$B$5</f>
        <v/>
      </c>
      <c r="E9" s="34" t="n">
        <v>0.45</v>
      </c>
      <c r="F9" s="9">
        <f>B9/D9</f>
        <v/>
      </c>
    </row>
    <row r="10">
      <c r="A10" t="inlineStr">
        <is>
          <t>Bull</t>
        </is>
      </c>
      <c r="B10" s="6">
        <f>(((ModularDCF!D56)+(SOTP!D8))/2+SOTP!E18-SOTP!$B$28)/SOTP!$B$29</f>
        <v/>
      </c>
      <c r="C10" s="10">
        <f>B10/$B$3-1</f>
        <v/>
      </c>
      <c r="D10" s="6">
        <f>$B$5</f>
        <v/>
      </c>
      <c r="E10" s="34" t="n">
        <v>0.25</v>
      </c>
      <c r="F10" s="9">
        <f>B10/D10</f>
        <v/>
      </c>
    </row>
    <row r="11">
      <c r="A11" s="11" t="inlineStr">
        <is>
          <t>Probability-weighted</t>
        </is>
      </c>
      <c r="B11" s="12">
        <f>SUMPRODUCT(B8:B10,E8:E10)</f>
        <v/>
      </c>
      <c r="C11" s="31">
        <f>B11/$B$3-1</f>
        <v/>
      </c>
      <c r="D11" s="35" t="n"/>
      <c r="E11" s="36">
        <f>SUM(E8:E10)</f>
        <v/>
      </c>
      <c r="F11" s="13">
        <f>SUMPRODUCT(F8:F10,E8:E10)</f>
        <v/>
      </c>
    </row>
    <row r="13">
      <c r="A13" s="17" t="inlineStr">
        <is>
          <t>Lead-review anchors: Bear $1.04 (-60%) / Base $2.46 (-4%) / Bull $4.72 (+83%); prob-weighted (30/45/25) ~$2.60 (+1%). Acq MOIC vs $3.39 buy-in: base 0.73x (underwater) / bull 1.39x / bear 0.31x. NOTE: the live bull is ~$4.88 (MOIC 1.44x) — slightly above the anchor because the explicit DCF of model.md's stated bull inputs computes Modular EV ~$22.6M vs model.md's rounded $21.0M (see ModularDCF note). Bear &amp; base tie exactly. The deal still works ONLY on the bull.</t>
        </is>
      </c>
    </row>
    <row r="14"/>
    <row r="15"/>
    <row r="16">
      <c r="A16" s="17" t="inlineStr">
        <is>
          <t>Edit column E (probabilities) and any yellow input on ModularDCF/SOTP to flex. FV here = present intrinsic value (gap to fair closes over 3 yrs, no further compounding).</t>
        </is>
      </c>
    </row>
    <row r="17"/>
  </sheetData>
  <mergeCells count="2">
    <mergeCell ref="A13:G15"/>
    <mergeCell ref="A16:G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8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</cols>
  <sheetData>
    <row r="1">
      <c r="A1" s="1" t="inlineStr">
        <is>
          <t>Graham / Buffett value lenses ($M unless noted)</t>
        </is>
      </c>
    </row>
    <row r="3">
      <c r="A3" s="5" t="inlineStr">
        <is>
          <t>EARNINGS POWER VALUE (modular-only, no growth, loads full net debt)</t>
        </is>
      </c>
    </row>
    <row r="4">
      <c r="A4" t="inlineStr">
        <is>
          <t>Modular EBIT (op income, normalized)</t>
        </is>
      </c>
      <c r="B4" s="23" t="n">
        <v>1.55</v>
      </c>
    </row>
    <row r="5">
      <c r="A5" t="inlineStr">
        <is>
          <t>Cash tax rate</t>
        </is>
      </c>
      <c r="B5" s="26" t="n">
        <v>0.15</v>
      </c>
    </row>
    <row r="6">
      <c r="A6" t="inlineStr">
        <is>
          <t>NOPAT</t>
        </is>
      </c>
      <c r="B6" s="8">
        <f>B4*(1-B5)</f>
        <v/>
      </c>
    </row>
    <row r="7">
      <c r="A7" t="inlineStr">
        <is>
          <t>WACC</t>
        </is>
      </c>
      <c r="B7" s="26" t="n">
        <v>0.135</v>
      </c>
    </row>
    <row r="8">
      <c r="A8" t="inlineStr">
        <is>
          <t>EPV operating (NOPAT / WACC)</t>
        </is>
      </c>
      <c r="B8" s="8">
        <f>B6/B7</f>
        <v/>
      </c>
    </row>
    <row r="9">
      <c r="A9" t="inlineStr">
        <is>
          <t>less: net debt</t>
        </is>
      </c>
      <c r="B9" s="8">
        <f>Summary!B13</f>
        <v/>
      </c>
    </row>
    <row r="10">
      <c r="A10" t="inlineStr">
        <is>
          <t>EPV equity</t>
        </is>
      </c>
      <c r="B10" s="8">
        <f>B8-B9</f>
        <v/>
      </c>
    </row>
    <row r="11">
      <c r="A11" t="inlineStr">
        <is>
          <t>Shares (M)</t>
        </is>
      </c>
      <c r="B11" s="7">
        <f>Summary!B9</f>
        <v/>
      </c>
    </row>
    <row r="12">
      <c r="A12" s="11" t="inlineStr">
        <is>
          <t>EPV per share ($)</t>
        </is>
      </c>
      <c r="B12" s="12">
        <f>B10/B11</f>
        <v/>
      </c>
    </row>
    <row r="13">
      <c r="A13" s="17" t="inlineStr">
        <is>
          <t>Read: after loading FULL net debt on modular alone, no-growth value (~$0.65/sh) is well below price — you are paying for growth + the ag asset recovery.</t>
        </is>
      </c>
    </row>
    <row r="14"/>
    <row r="16">
      <c r="A16" s="5" t="inlineStr">
        <is>
          <t>REVERSE DCF (what the ~$20M EV implies)</t>
        </is>
      </c>
    </row>
    <row r="17">
      <c r="A17" t="inlineStr">
        <is>
          <t>Enterprise value ($M)</t>
        </is>
      </c>
      <c r="B17" s="8">
        <f>Summary!B14</f>
        <v/>
      </c>
    </row>
    <row r="18">
      <c r="A18" t="inlineStr">
        <is>
          <t>Normalized FCF ($M)</t>
        </is>
      </c>
      <c r="B18" s="23" t="n">
        <v>1.2</v>
      </c>
    </row>
    <row r="19">
      <c r="A19" t="inlineStr">
        <is>
          <t>WACC</t>
        </is>
      </c>
      <c r="B19" s="26" t="n">
        <v>0.135</v>
      </c>
    </row>
    <row r="20">
      <c r="A20" s="11" t="inlineStr">
        <is>
          <t>Implied perpetual FCF growth</t>
        </is>
      </c>
      <c r="B20" s="31">
        <f>B18-B19/B17</f>
        <v/>
      </c>
    </row>
    <row r="21">
      <c r="A21" s="17" t="inlineStr">
        <is>
          <t>The ~$20M EV embeds ~7% perpetual FCF growth — the market is NOT pricing a melting farm-equipment microcap; it embeds mid-single-digit+ growth. Not cheap on expectations.</t>
        </is>
      </c>
    </row>
    <row r="22"/>
    <row r="24">
      <c r="A24" s="5" t="inlineStr">
        <is>
          <t>OWNER-EARNINGS YIELD (Buffett)</t>
        </is>
      </c>
    </row>
    <row r="25">
      <c r="A25" t="inlineStr">
        <is>
          <t>Normalized FCF / owner earnings ($M)</t>
        </is>
      </c>
      <c r="B25" s="23" t="n">
        <v>1.2</v>
      </c>
    </row>
    <row r="26">
      <c r="A26" t="inlineStr">
        <is>
          <t>Market cap ($M)</t>
        </is>
      </c>
      <c r="B26" s="8">
        <f>Summary!B10</f>
        <v/>
      </c>
    </row>
    <row r="27">
      <c r="A27" s="11" t="inlineStr">
        <is>
          <t>Owner-earnings yield (on market cap)</t>
        </is>
      </c>
      <c r="B27" s="31">
        <f>B25/B26</f>
        <v/>
      </c>
    </row>
    <row r="28">
      <c r="A28" t="inlineStr">
        <is>
          <t>FCF / enterprise value</t>
        </is>
      </c>
      <c r="B28" s="10">
        <f>B25/Summary!B14</f>
        <v/>
      </c>
    </row>
    <row r="30">
      <c r="A30" s="5" t="inlineStr">
        <is>
          <t>GRAHAM NCAV (net-net floor)</t>
        </is>
      </c>
    </row>
    <row r="31">
      <c r="A31" t="inlineStr">
        <is>
          <t>Current assets ($M)</t>
        </is>
      </c>
      <c r="B31" s="23" t="n">
        <v>14.78</v>
      </c>
    </row>
    <row r="32">
      <c r="A32" t="inlineStr">
        <is>
          <t>less: total liabilities ($M)</t>
        </is>
      </c>
      <c r="B32" s="23" t="n">
        <v>9.17</v>
      </c>
    </row>
    <row r="33">
      <c r="A33" t="inlineStr">
        <is>
          <t>Net current asset value ($M)</t>
        </is>
      </c>
      <c r="B33" s="8">
        <f>B31-B32</f>
        <v/>
      </c>
    </row>
    <row r="34">
      <c r="A34" s="11" t="inlineStr">
        <is>
          <t>NCAV per share ($)</t>
        </is>
      </c>
      <c r="B34" s="12">
        <f>B33/Summary!B9</f>
        <v/>
      </c>
    </row>
    <row r="35">
      <c r="A35" s="17" t="inlineStr">
        <is>
          <t>Not a net-net at $2.58, but ~42% of price covered by net current assets alone — a real downside marker.</t>
        </is>
      </c>
    </row>
    <row r="36"/>
    <row r="38">
      <c r="A38" s="5" t="inlineStr">
        <is>
          <t>GRAHAM STRONG-FINANCIAL-CONDITION (mirror — full calc on Graham tab)</t>
        </is>
      </c>
    </row>
    <row r="39">
      <c r="A39" t="inlineStr">
        <is>
          <t>Current ratio</t>
        </is>
      </c>
      <c r="B39" s="9">
        <f>Graham!B7</f>
        <v/>
      </c>
    </row>
    <row r="40">
      <c r="A40" t="inlineStr">
        <is>
          <t>LT debt vs working capital</t>
        </is>
      </c>
      <c r="B40">
        <f>Graham!B10&amp;" vs "&amp;Graham!B8</f>
        <v/>
      </c>
    </row>
    <row r="42">
      <c r="A42" t="inlineStr">
        <is>
          <t>Current-ratio test (&gt;=2.0)</t>
        </is>
      </c>
      <c r="C42" s="16">
        <f>Graham!C7</f>
        <v/>
      </c>
    </row>
    <row r="45">
      <c r="A45" t="inlineStr">
        <is>
          <t>LT-debt&lt;=WC test</t>
        </is>
      </c>
      <c r="C45" s="16">
        <f>Graham!C11</f>
        <v/>
      </c>
    </row>
    <row r="47">
      <c r="A47" s="17" t="inlineStr">
        <is>
          <t>PASSES BOTH — unlike HCKT (failed both). A genuine static balance-sheet floor; the downside is partly asset-backed (inventory + plant + 1.0x book), not carried solely by earning power.</t>
        </is>
      </c>
    </row>
    <row r="48"/>
  </sheetData>
  <mergeCells count="4">
    <mergeCell ref="A13:C14"/>
    <mergeCell ref="A21:C22"/>
    <mergeCell ref="A35:C36"/>
    <mergeCell ref="A47:C4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40" customWidth="1" min="4" max="4"/>
  </cols>
  <sheetData>
    <row r="1">
      <c r="A1" s="1" t="inlineStr">
        <is>
          <t>Graham 'strong financial condition' test (Defensive Investor)</t>
        </is>
      </c>
    </row>
    <row r="2">
      <c r="A2" s="2" t="inlineStr">
        <is>
          <t>CITED: FY25 10-K MD&amp;A working-capital table (p.511) + balance sheet / Note 10. Contrast HCKT which FAILED both prongs.</t>
        </is>
      </c>
    </row>
    <row r="4">
      <c r="A4" s="14" t="inlineStr">
        <is>
          <t>Item</t>
        </is>
      </c>
      <c r="B4" s="14" t="inlineStr">
        <is>
          <t>Value</t>
        </is>
      </c>
      <c r="C4" s="14" t="inlineStr">
        <is>
          <t>Test</t>
        </is>
      </c>
      <c r="D4" s="14" t="inlineStr">
        <is>
          <t>Note</t>
        </is>
      </c>
    </row>
    <row r="5">
      <c r="A5" t="inlineStr">
        <is>
          <t>Current assets ($M)</t>
        </is>
      </c>
      <c r="B5" s="23" t="n">
        <v>14.78</v>
      </c>
      <c r="D5" s="2" t="inlineStr">
        <is>
          <t>CITED — FY25 balance sheet</t>
        </is>
      </c>
    </row>
    <row r="6">
      <c r="A6" t="inlineStr">
        <is>
          <t>Current liabilities ($M)</t>
        </is>
      </c>
      <c r="B6" s="23" t="n">
        <v>6.44</v>
      </c>
      <c r="D6" s="2" t="inlineStr">
        <is>
          <t>CITED — implied (WC $8.34M = CA - CL)</t>
        </is>
      </c>
    </row>
    <row r="7">
      <c r="A7" s="27" t="inlineStr">
        <is>
          <t>Current ratio  (Graham test: &gt;= 2.0)</t>
        </is>
      </c>
      <c r="B7" s="37">
        <f>B5/B6</f>
        <v/>
      </c>
      <c r="C7" s="16">
        <f>IF(B7&gt;=2,"PASS","FAIL")</f>
        <v/>
      </c>
      <c r="D7" s="2" t="inlineStr">
        <is>
          <t>CITED 2.30x (FY24 1.98x) — PASSES</t>
        </is>
      </c>
    </row>
    <row r="8">
      <c r="A8" t="inlineStr">
        <is>
          <t>Working capital (net current assets, $M)</t>
        </is>
      </c>
      <c r="B8" s="8">
        <f>B5-B6</f>
        <v/>
      </c>
      <c r="D8" s="2" t="inlineStr">
        <is>
          <t>CITED $8.34M (FY24 $6.49M)</t>
        </is>
      </c>
    </row>
    <row r="10">
      <c r="A10" t="inlineStr">
        <is>
          <t>Long-term debt ($M)</t>
        </is>
      </c>
      <c r="B10" s="23" t="n">
        <v>2.73</v>
      </c>
      <c r="D10" s="2" t="inlineStr">
        <is>
          <t>CITED — LT term loans $2.325M + LT finance lease $0.408M</t>
        </is>
      </c>
    </row>
    <row r="11">
      <c r="A11" s="27" t="inlineStr">
        <is>
          <t>LT debt &lt;= working capital  (Graham test)</t>
        </is>
      </c>
      <c r="B11" s="37">
        <f>B10/B8</f>
        <v/>
      </c>
      <c r="C11" s="16">
        <f>IF(B10&lt;=B8,"PASS","FAIL")</f>
        <v/>
      </c>
      <c r="D11" s="2" t="inlineStr">
        <is>
          <t>LT debt $2.73M &lt;= WC $8.34M — PASSES</t>
        </is>
      </c>
    </row>
    <row r="13">
      <c r="A13" s="16" t="inlineStr">
        <is>
          <t>RESULT: PASSES BOTH PRONGS.</t>
        </is>
      </c>
    </row>
    <row r="14">
      <c r="A14" s="17" t="inlineStr">
        <is>
          <t>Unlike HCKT (current ratio 1.88x FAIL; LT debt $78.8M &gt; WC $38.2M FAIL), ARTW has a genuine static balance-sheet floor — the downside is partly asset-backed (inventory + plant + 1.0x book), not carried solely by earning power. Also: NCAV $1.08/sh (~42% of price), book value $2.57 ≈ price (~1.0x book).</t>
        </is>
      </c>
    </row>
    <row r="15"/>
    <row r="16"/>
  </sheetData>
  <mergeCells count="1">
    <mergeCell ref="A14:D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18" customWidth="1" min="3" max="3"/>
    <col width="11" customWidth="1" min="4" max="4"/>
    <col width="10" customWidth="1" min="5" max="5"/>
    <col width="10" customWidth="1" min="6" max="6"/>
    <col width="11" customWidth="1" min="7" max="7"/>
    <col width="70" customWidth="1" min="8" max="8"/>
  </cols>
  <sheetData>
    <row r="1">
      <c r="A1" s="1" t="inlineStr">
        <is>
          <t>Peer comp set — multiples behind the SOTP &amp; DCF</t>
        </is>
      </c>
    </row>
    <row r="2">
      <c r="A2" s="2" t="inlineStr">
        <is>
          <t>Source: data/research/artw/peer_benchmarks.csv. FONR = precedent transaction (the base anchor); WSC = leasing ceiling (not comparable); construction median ~10x.</t>
        </is>
      </c>
    </row>
    <row r="4">
      <c r="A4" s="14" t="inlineStr">
        <is>
          <t>Ticker</t>
        </is>
      </c>
      <c r="B4" s="14" t="inlineStr">
        <is>
          <t>Name</t>
        </is>
      </c>
      <c r="C4" s="14" t="inlineStr">
        <is>
          <t>Inclusion</t>
        </is>
      </c>
      <c r="D4" s="14" t="inlineStr">
        <is>
          <t>EV/EBITDA</t>
        </is>
      </c>
      <c r="E4" s="14" t="inlineStr">
        <is>
          <t>EV/Rev</t>
        </is>
      </c>
      <c r="F4" s="14" t="inlineStr">
        <is>
          <t>Rev gr %</t>
        </is>
      </c>
      <c r="G4" s="14" t="inlineStr">
        <is>
          <t>EBITDA mgn</t>
        </is>
      </c>
      <c r="H4" s="14" t="inlineStr">
        <is>
          <t>Notes</t>
        </is>
      </c>
    </row>
    <row r="5">
      <c r="A5" s="11" t="inlineStr">
        <is>
          <t>ARTW</t>
        </is>
      </c>
      <c r="B5" s="35" t="inlineStr">
        <is>
          <t>Art's-Way Manufacturing</t>
        </is>
      </c>
      <c r="C5" s="35" t="inlineStr">
        <is>
          <t>subject</t>
        </is>
      </c>
      <c r="D5" s="35" t="n"/>
      <c r="E5" s="35" t="n"/>
      <c r="F5" s="38" t="n">
        <v>-0.062</v>
      </c>
      <c r="G5" s="38" t="n">
        <v>0.046</v>
      </c>
      <c r="H5" s="17" t="inlineStr">
        <is>
          <t>Consolidated. FY25 rev $22.975M; op inc $0.289M; EBITDA approx op inc $0.289M + D&amp;A $0.792M = ~$1.08M (1.06M est). Two segments: Ag Products (loss-making) + Modular Buildings (Art's-Way Scientific, ~17% op margin). FCF negative FY25 (OCF -$0.904M). EV ~$19.85M.</t>
        </is>
      </c>
    </row>
    <row r="6">
      <c r="A6" t="inlineStr">
        <is>
          <t>FONR</t>
        </is>
      </c>
      <c r="B6" t="inlineStr">
        <is>
          <t>Fonar Corp</t>
        </is>
      </c>
      <c r="C6" t="inlineStr">
        <is>
          <t>precedent_transaction</t>
        </is>
      </c>
      <c r="D6" s="29" t="n">
        <v>8</v>
      </c>
      <c r="E6" s="29" t="n">
        <v>0.9399999999999999</v>
      </c>
      <c r="H6" s="17" t="inlineStr">
        <is>
          <t>PRECEDENT TRANSACTION, not a trading comp. CEO-led take-private at $19.00/sh = ~$98.62M; 31.5% premium to prior close, 39.7% over 90-day avg. Founder/family-controlled, profitable, healthcare-adjacent small-cap. ~0.94x revenue / ~7-9x EBITDA cited. The closest structural analog to an ARTW friendly carve-out/take-private. Anchors the acquisition-premium and small-cap-health multiple.</t>
        </is>
      </c>
    </row>
    <row r="7">
      <c r="A7" t="inlineStr">
        <is>
          <t>WSC</t>
        </is>
      </c>
      <c r="B7" t="inlineStr">
        <is>
          <t>WillScot Holdings</t>
        </is>
      </c>
      <c r="C7" t="inlineStr">
        <is>
          <t>secondary</t>
        </is>
      </c>
      <c r="D7" s="29" t="n">
        <v>12.5</v>
      </c>
      <c r="E7" s="29" t="n">
        <v>3.1</v>
      </c>
      <c r="G7" s="10" t="n">
        <v>0.42</v>
      </c>
      <c r="H7" s="17" t="inlineStr">
        <is>
          <t>Modular space LEASING (rental fleet), not project-based custom fabrication. EV/EBITDA 11.7x (5-yr low Dec-2025) to 14.5x LTM; ~3.1x revenue; ~42% EBITDA margin (rental model). SCALE + BUSINESS-MODEL MISMATCH: $2.3B rev, recurring lease revenue, fleet ROIC -- NOT a clean comp for a $10M custom-build job shop. Used only as the directional ceiling for 'modular' and to show why ARTW's project model de</t>
        </is>
      </c>
    </row>
    <row r="8">
      <c r="A8" t="inlineStr">
        <is>
          <t>CONSTR</t>
        </is>
      </c>
      <c r="B8" t="inlineStr">
        <is>
          <t>Construction sector median (global)</t>
        </is>
      </c>
      <c r="C8" t="inlineStr">
        <is>
          <t>secondary</t>
        </is>
      </c>
      <c r="D8" s="29" t="n">
        <v>10.3</v>
      </c>
      <c r="G8" s="10" t="n">
        <v>0.07000000000000001</v>
      </c>
      <c r="H8" s="17" t="inlineStr">
        <is>
          <t xml:space="preserve">Sector reference, not a single name. Global construction EV/EBITDA median ~10.3x (2024). Permanent-modular builders carry ~7% weighted EBITDA margin per McKinsey. Establishes that project-based building/construction trades well below WSC's leasing multiple. ARTW modular at ~17% op margin is ABOVE the sector EBITDA-margin norm -- supports a mid-single-digit to high-single-digit EBITDA multiple for </t>
        </is>
      </c>
    </row>
    <row r="9">
      <c r="A9" t="inlineStr">
        <is>
          <t>GVA</t>
        </is>
      </c>
      <c r="B9" t="inlineStr">
        <is>
          <t>Granite Construction</t>
        </is>
      </c>
      <c r="C9" t="inlineStr">
        <is>
          <t>excluded</t>
        </is>
      </c>
      <c r="D9" s="29" t="n">
        <v>9</v>
      </c>
      <c r="E9" s="29" t="n">
        <v>0.9</v>
      </c>
      <c r="G9" s="10" t="n">
        <v>0.095</v>
      </c>
      <c r="H9" s="17" t="inlineStr">
        <is>
          <t>EXCLUDED as a direct comp: heavy civil/infrastructure contractor, different end markets, no lab/biocontainment exposure. Listed only to document the broad-contractor multiple band (~0.9x rev, ~9x EBITDA) considered and rejected.</t>
        </is>
      </c>
    </row>
    <row r="11">
      <c r="A11" s="17" t="inlineStr">
        <is>
          <t>Key: FONR (~7-9x EBITDA, 0.94x rev, 31.5% premium, ~$98.6M) is the closest structural analog (CEO-led take-private of a profitable family-controlled health-adjacent micro-cap) — it anchors BOTH the base multiple AND the acquisition premium. WSC (11.7-14.5x) is a LEASING model (recurring rental ROIC) — used only as the unreachable ceiling for 'modular.' Construction median ~10.3x; permanent-modular ~7% EBITDA margin (McKinsey). ARTW modular ~17% op margin is ABOVE the sector norm -&gt; supports mid-to-high-single-digit EBITDA multiple. US modular construction ~$20.3B (2024), ~4.5-6.2% CAGR.</t>
        </is>
      </c>
    </row>
    <row r="12"/>
    <row r="13"/>
  </sheetData>
  <mergeCells count="1">
    <mergeCell ref="A11:H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6" customWidth="1" min="3" max="3"/>
    <col width="66" customWidth="1" min="4" max="4"/>
  </cols>
  <sheetData>
    <row r="1">
      <c r="A1" s="1" t="inlineStr">
        <is>
          <t>Assumptions &amp; judgment log — how each non-cited input was built</t>
        </is>
      </c>
    </row>
    <row r="3">
      <c r="A3" s="5" t="inlineStr">
        <is>
          <t>WACC BUILD (bottom-up CAPM for a micro-cap, project-based, illiquid, single-plant biz)</t>
        </is>
      </c>
    </row>
    <row r="4">
      <c r="A4" t="inlineStr">
        <is>
          <t>Risk-free rate (10-yr UST)</t>
        </is>
      </c>
      <c r="B4" s="26" t="n">
        <v>0.043</v>
      </c>
      <c r="D4" s="17" t="inlineStr">
        <is>
          <t>CITED — market-observable, May 2026.</t>
        </is>
      </c>
    </row>
    <row r="5">
      <c r="A5" t="inlineStr">
        <is>
          <t>Beta (levered)</t>
        </is>
      </c>
      <c r="B5" s="39" t="n">
        <v>1.4</v>
      </c>
      <c r="D5" s="17" t="inlineStr">
        <is>
          <t>ESTIMATED — small-cap industrial / project cyclicality; thin-float, don't defend the 2nd digit.</t>
        </is>
      </c>
    </row>
    <row r="6">
      <c r="A6" t="inlineStr">
        <is>
          <t>Equity risk premium</t>
        </is>
      </c>
      <c r="B6" s="26" t="n">
        <v>0.055</v>
      </c>
      <c r="D6" s="17" t="inlineStr">
        <is>
          <t>ESTIMATED — convention (Damodaran ~4.5-5.5%).</t>
        </is>
      </c>
    </row>
    <row r="7">
      <c r="A7" t="inlineStr">
        <is>
          <t>CAPM cost of equity (pre-overlay)</t>
        </is>
      </c>
      <c r="B7" s="10">
        <f>B4+B5*B6</f>
        <v/>
      </c>
      <c r="D7" s="17">
        <f> rf + beta x ERP (~12.0%).</f>
        <v/>
      </c>
    </row>
    <row r="9">
      <c r="A9" t="inlineStr">
        <is>
          <t>Size / illiquidity premium</t>
        </is>
      </c>
      <c r="B9" s="26" t="n">
        <v>0.035</v>
      </c>
      <c r="D9" s="17" t="inlineStr">
        <is>
          <t>ESTIMATED — ~$13M cap, float ~2.0M sh, ~$0.1M/day volume. Range 3-4%.</t>
        </is>
      </c>
    </row>
    <row r="10">
      <c r="A10" t="inlineStr">
        <is>
          <t>Project-concentration premium</t>
        </is>
      </c>
      <c r="B10" s="26" t="n">
        <v>0</v>
      </c>
      <c r="D10" s="17" t="inlineStr">
        <is>
          <t>ESTIMATED — lumpy single-plant project risk; folded into size/illiquidity band here (set 0 to avoid double-count, raise to test).</t>
        </is>
      </c>
    </row>
    <row r="11">
      <c r="A11" t="inlineStr">
        <is>
          <t>Cost of equity (CAPM + premia)</t>
        </is>
      </c>
      <c r="B11" s="10">
        <f>B7+B9+B10</f>
        <v/>
      </c>
      <c r="D11" s="17">
        <f> CAPM + size/illiquidity + project conc.</f>
        <v/>
      </c>
    </row>
    <row r="13">
      <c r="A13" s="11" t="inlineStr">
        <is>
          <t>WACC — base (applied in DCF)</t>
        </is>
      </c>
      <c r="B13" s="31">
        <f>B11</f>
        <v/>
      </c>
      <c r="D13" s="17" t="inlineStr">
        <is>
          <t>~13.5% base. Bear 15% (heavier risk premium); bull 12% (cleaner).</t>
        </is>
      </c>
    </row>
    <row r="14">
      <c r="A14" t="inlineStr">
        <is>
          <t>WACC — bear</t>
        </is>
      </c>
      <c r="B14" s="26" t="n">
        <v>0.15</v>
      </c>
      <c r="D14" s="17" t="inlineStr">
        <is>
          <t>ESTIMATED — heavier risk premium on a missed inflection.</t>
        </is>
      </c>
    </row>
    <row r="15">
      <c r="A15" t="inlineStr">
        <is>
          <t>WACC — bull</t>
        </is>
      </c>
      <c r="B15" s="26" t="n">
        <v>0.12</v>
      </c>
      <c r="D15" s="17" t="inlineStr">
        <is>
          <t>ESTIMATED — re-rate to a clean biocontainment platform.</t>
        </is>
      </c>
    </row>
    <row r="18">
      <c r="A18" s="5" t="inlineStr">
        <is>
          <t>JUDGMENT-INPUT LOG (every non-cited assumption: tier + how it was built)</t>
        </is>
      </c>
    </row>
    <row r="19">
      <c r="A19" s="14" t="inlineStr">
        <is>
          <t>Input</t>
        </is>
      </c>
      <c r="B19" s="14" t="inlineStr">
        <is>
          <t>Base</t>
        </is>
      </c>
      <c r="C19" s="14" t="inlineStr">
        <is>
          <t>Tier</t>
        </is>
      </c>
      <c r="D19" s="14" t="inlineStr">
        <is>
          <t>How constructed / logic</t>
        </is>
      </c>
    </row>
    <row r="20">
      <c r="A20" t="inlineStr">
        <is>
          <t>WACC</t>
        </is>
      </c>
      <c r="B20" t="inlineStr">
        <is>
          <t>13.5%</t>
        </is>
      </c>
      <c r="C20" t="inlineStr">
        <is>
          <t>Built CAPM + premia</t>
        </is>
      </c>
      <c r="D20" s="17" t="inlineStr">
        <is>
          <t>rf 4.3% + beta 1.4 x ERP 5.5% + size/illiquidity 3-4%; bear 15% / bull 12% (built above).</t>
        </is>
      </c>
    </row>
    <row r="21">
      <c r="A21" t="inlineStr">
        <is>
          <t>Cash tax rate</t>
        </is>
      </c>
      <c r="B21" t="inlineStr">
        <is>
          <t>15%</t>
        </is>
      </c>
      <c r="C21" t="inlineStr">
        <is>
          <t>Normalized</t>
        </is>
      </c>
      <c r="D21" s="17" t="inlineStr">
        <is>
          <t>CITED cash tax ~zero (NOL shield), but NOLs finite &amp; a profitable carve-out exhausts them; do NOT extrapolate 0% (§A2). Near-term real rate lower = upside.</t>
        </is>
      </c>
    </row>
    <row r="22">
      <c r="A22" t="inlineStr">
        <is>
          <t>Two-leg split (research/ag-bio)</t>
        </is>
      </c>
      <c r="B22" t="inlineStr">
        <is>
          <t>60/40</t>
        </is>
      </c>
      <c r="C22" t="inlineStr">
        <is>
          <t>ESTIMATED — DATA FLOOR</t>
        </is>
      </c>
      <c r="D22" s="17" t="inlineStr">
        <is>
          <t>From the single '+$1.355M ag-building' breadcrumb -&gt; FY24 base ~$2.77M -&gt; FY25 ag-bio ~$4.1M (~40%). THE key data-floor assumption (§A3/§10). Revenue &amp; margin by leg NOT disclosed.</t>
        </is>
      </c>
    </row>
    <row r="23">
      <c r="A23" t="inlineStr">
        <is>
          <t>Modular standalone EBITDA</t>
        </is>
      </c>
      <c r="B23" t="inlineStr">
        <is>
          <t>$1.55M base</t>
        </is>
      </c>
      <c r="C23" t="inlineStr">
        <is>
          <t>Built</t>
        </is>
      </c>
      <c r="D23" s="17" t="inlineStr">
        <is>
          <t>Segment EBITDA $2.002M (op $1.751M + D&amp;A $0.251M) less ~$0.45M incremental standalone public-company/corporate cost. Bear $1.40M / bull $2.00M.</t>
        </is>
      </c>
    </row>
    <row r="24">
      <c r="A24" t="inlineStr">
        <is>
          <t>Standalone corporate cost add</t>
        </is>
      </c>
      <c r="B24" t="inlineStr">
        <is>
          <t>$0.45M</t>
        </is>
      </c>
      <c r="C24" t="inlineStr">
        <is>
          <t>ESTIMATED</t>
        </is>
      </c>
      <c r="D24" s="17" t="inlineStr">
        <is>
          <t>Only ~$0.18M corp was allocated to modular in the segment table; a standalone registrant carries more. Full take-private removes public-co cost = upside.</t>
        </is>
      </c>
    </row>
    <row r="25">
      <c r="A25" t="inlineStr">
        <is>
          <t>Modular EV/EBITDA multiple</t>
        </is>
      </c>
      <c r="B25" t="inlineStr">
        <is>
          <t>7x base</t>
        </is>
      </c>
      <c r="C25" t="inlineStr">
        <is>
          <t>Judgment</t>
        </is>
      </c>
      <c r="D25" s="17" t="inlineStr">
        <is>
          <t>FONR ~7-9x precedent anchor; Porter read supports base 7x and caps bull ~10x. WSC 11.7-14.5x leasing = unreachable ceiling. Bear 5x.</t>
        </is>
      </c>
    </row>
    <row r="26">
      <c r="A26" t="inlineStr">
        <is>
          <t>Ag inventory recovery</t>
        </is>
      </c>
      <c r="B26" t="inlineStr">
        <is>
          <t>60% base</t>
        </is>
      </c>
      <c r="C26" t="inlineStr">
        <is>
          <t>ESTIMATED</t>
        </is>
      </c>
      <c r="D26" s="17" t="inlineStr">
        <is>
          <t>v2 re-centered from v1's 70% (which tuned base FV to the $2.58 quote). Aged whole-goods ARTW built into a slow market + beet-equipment hit by Dec-2025 44% ACS payment cut -&gt; 55-65% realistic. Bear 50% / bull 75%.</t>
        </is>
      </c>
    </row>
    <row r="27">
      <c r="A27" t="inlineStr">
        <is>
          <t>Ag AR recovery</t>
        </is>
      </c>
      <c r="B27" t="inlineStr">
        <is>
          <t>95% base</t>
        </is>
      </c>
      <c r="C27" t="inlineStr">
        <is>
          <t>ESTIMATED</t>
        </is>
      </c>
      <c r="D27" s="17" t="inlineStr">
        <is>
          <t>Trade AR collects near par in an orderly wind-down. Bear 85% / bull 100%.</t>
        </is>
      </c>
    </row>
    <row r="28">
      <c r="A28" t="inlineStr">
        <is>
          <t>Ag PP&amp;E recovery</t>
        </is>
      </c>
      <c r="B28" t="inlineStr">
        <is>
          <t>40% base</t>
        </is>
      </c>
      <c r="C28" t="inlineStr">
        <is>
          <t>ESTIMATED</t>
        </is>
      </c>
      <c r="D28" s="17" t="inlineStr">
        <is>
          <t>Single-purpose rural-Iowa (Armstrong) plant. 2024 Tools real-estate sale $1.8M a loose data point. Bear 30% / bull 55%.</t>
        </is>
      </c>
    </row>
    <row r="29">
      <c r="A29" t="inlineStr">
        <is>
          <t>Ag wind-down cost</t>
        </is>
      </c>
      <c r="B29" t="inlineStr">
        <is>
          <t>$1.3M base</t>
        </is>
      </c>
      <c r="C29" t="inlineStr">
        <is>
          <t>ESTIMATED</t>
        </is>
      </c>
      <c r="D29" s="17" t="inlineStr">
        <is>
          <t>Severance, lease breakage, warranty/dealer tail, transaction. Bear $2.0M / bull $0.8M.</t>
        </is>
      </c>
    </row>
    <row r="30">
      <c r="A30" t="inlineStr">
        <is>
          <t>D&amp;A &amp; capex (% rev)</t>
        </is>
      </c>
      <c r="B30" t="inlineStr">
        <is>
          <t>2.5% each</t>
        </is>
      </c>
      <c r="C30" t="inlineStr">
        <is>
          <t>Judgment</t>
        </is>
      </c>
      <c r="D30" s="17" t="inlineStr">
        <is>
          <t>Asset-light modular ($3.27M assets, $0.222M capex on $10.2M rev).</t>
        </is>
      </c>
    </row>
    <row r="31">
      <c r="A31" t="inlineStr">
        <is>
          <t>ΔWC (% incremental rev)</t>
        </is>
      </c>
      <c r="B31" t="inlineStr">
        <is>
          <t>10%</t>
        </is>
      </c>
      <c r="C31" t="inlineStr">
        <is>
          <t>Judgment</t>
        </is>
      </c>
      <c r="D31" s="17" t="inlineStr">
        <is>
          <t>Project-timing-driven (over/under-billing nets to ~zero over a cycle); NOT a permanent build like ag whole-goods (§A6).</t>
        </is>
      </c>
    </row>
    <row r="32">
      <c r="A32" t="inlineStr">
        <is>
          <t>Terminal growth</t>
        </is>
      </c>
      <c r="B32" t="inlineStr">
        <is>
          <t>2.5% base</t>
        </is>
      </c>
      <c r="C32" t="inlineStr">
        <is>
          <t>Judgment</t>
        </is>
      </c>
      <c r="D32" s="17" t="inlineStr">
        <is>
          <t>GDP-ish. Bear 1.0% / bull 3.0%.</t>
        </is>
      </c>
    </row>
    <row r="33">
      <c r="A33" t="inlineStr">
        <is>
          <t>Scenario probabilities</t>
        </is>
      </c>
      <c r="B33" t="inlineStr">
        <is>
          <t>30/45/25</t>
        </is>
      </c>
      <c r="C33" t="inlineStr">
        <is>
          <t>Judgment</t>
        </is>
      </c>
      <c r="D33" s="17" t="inlineStr">
        <is>
          <t>Bear weighted for the bull-dependent, data-floor-limited setup; no enacted NIH cut but chilled climate; ag-bio cyclical.</t>
        </is>
      </c>
    </row>
    <row r="34">
      <c r="A34" t="inlineStr">
        <is>
          <t>Acquisition premium</t>
        </is>
      </c>
      <c r="B34" t="inlineStr">
        <is>
          <t>31.5%</t>
        </is>
      </c>
      <c r="C34" t="inlineStr">
        <is>
          <t>CITED precedent</t>
        </is>
      </c>
      <c r="D34" s="17" t="inlineStr">
        <is>
          <t>FONR Dec-2025 CEO-led take-private at 31.5% premium -&gt; ARTW buy-in $3.39/sh. Base MOIC 0.73x (underwater); only bull (1.39x) clears.</t>
        </is>
      </c>
    </row>
    <row r="35">
      <c r="A35" t="inlineStr">
        <is>
          <t>Net debt</t>
        </is>
      </c>
      <c r="B35" t="inlineStr">
        <is>
          <t>$6.40M</t>
        </is>
      </c>
      <c r="C35" t="inlineStr">
        <is>
          <t>CITED</t>
        </is>
      </c>
      <c r="D35" s="17" t="inlineStr">
        <is>
          <t>Total debt $6.41M (revolver $3.252M + term loans + finance leases, incl ~$0.309M SBA EIDL) - cash $0.005M (§0).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2026-05-31T00:53:11Z</dcterms:created>
  <dcterms:modified xmlns:dcterms="http://purl.org/dc/terms/" xmlns:xsi="http://www.w3.org/2001/XMLSchema-instance" xsi:type="dcterms:W3CDTF">2026-05-31T00:53:11Z</dcterms:modified>
</cp:coreProperties>
</file>